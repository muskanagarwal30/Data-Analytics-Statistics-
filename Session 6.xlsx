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admin\Desktop\TOP TECHS\data anaylitics\STATS\ASSINGNMENT\"/>
    </mc:Choice>
  </mc:AlternateContent>
  <xr:revisionPtr revIDLastSave="0" documentId="13_ncr:1_{0AC5A360-6B17-4BD1-8392-25A016748689}" xr6:coauthVersionLast="47" xr6:coauthVersionMax="47" xr10:uidLastSave="{00000000-0000-0000-0000-000000000000}"/>
  <bookViews>
    <workbookView xWindow="-120" yWindow="-120" windowWidth="20730" windowHeight="11160" activeTab="4" xr2:uid="{00000000-000D-0000-FFFF-FFFF00000000}"/>
  </bookViews>
  <sheets>
    <sheet name="1" sheetId="1" r:id="rId1"/>
    <sheet name="2" sheetId="2" r:id="rId2"/>
    <sheet name="3" sheetId="3" r:id="rId3"/>
    <sheet name="4" sheetId="4" r:id="rId4"/>
    <sheet name="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 i="4" l="1"/>
  <c r="E11" i="3"/>
  <c r="D6" i="3"/>
  <c r="H10" i="2"/>
  <c r="G10" i="2"/>
  <c r="H8" i="2" a="1"/>
  <c r="H8" i="2" s="1"/>
  <c r="H9" i="2" s="1"/>
  <c r="H7" i="2"/>
  <c r="G7" i="2"/>
  <c r="G9" i="2"/>
  <c r="G8"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<sst xmlns="http://schemas.openxmlformats.org/spreadsheetml/2006/main" count="54" uniqueCount="44">
  <si>
    <t>Sample Space</t>
  </si>
  <si>
    <r>
      <t>Total outcomes = 6 × 2 = 12</t>
    </r>
    <r>
      <rPr>
        <sz val="11"/>
        <color theme="1"/>
        <rFont val="Calibri"/>
        <family val="2"/>
        <scheme val="minor"/>
      </rPr>
      <t>.</t>
    </r>
  </si>
  <si>
    <t>When rolling a six-sided die and flipping a coin, the sample space contains all possible combinations.</t>
  </si>
  <si>
    <r>
      <rPr>
        <b/>
        <sz val="11"/>
        <color theme="1"/>
        <rFont val="Calibri"/>
        <family val="2"/>
        <scheme val="minor"/>
      </rPr>
      <t>Let:</t>
    </r>
    <r>
      <rPr>
        <sz val="11"/>
        <color theme="1"/>
        <rFont val="Calibri"/>
        <family val="2"/>
        <scheme val="minor"/>
      </rPr>
      <t xml:space="preserve">                                                                                       Die outcomes = {1, 2, 3, 4, 5, 6}                               Coin outcomes = {H, T}</t>
    </r>
  </si>
  <si>
    <t>1,H</t>
  </si>
  <si>
    <t>2,H</t>
  </si>
  <si>
    <t>3,H</t>
  </si>
  <si>
    <t>4,H</t>
  </si>
  <si>
    <t>5,H</t>
  </si>
  <si>
    <t>6,H</t>
  </si>
  <si>
    <t>1,T</t>
  </si>
  <si>
    <t>2,T</t>
  </si>
  <si>
    <t>3,T</t>
  </si>
  <si>
    <t>4,T</t>
  </si>
  <si>
    <t>5,T</t>
  </si>
  <si>
    <t>6,T</t>
  </si>
  <si>
    <t>List all possible outcomes (sample space) for rolling a standard six-sided die and flipping a coin at the same time. Write your answer as a list of ordered pairs.</t>
  </si>
  <si>
    <t>Suppose you have a deck of 10 cards numbered 1 to 10. Calculate the classical probability of drawing a card with an even number. Show your calculation steps.</t>
  </si>
  <si>
    <t>As there are 10 cards so possible outcomes are:</t>
  </si>
  <si>
    <t>Outcomes</t>
  </si>
  <si>
    <t>Total outcome:</t>
  </si>
  <si>
    <t>Favorable outcome:</t>
  </si>
  <si>
    <t>Unfavorable outcome:</t>
  </si>
  <si>
    <t>Status</t>
  </si>
  <si>
    <t>ODD</t>
  </si>
  <si>
    <t>EVEN</t>
  </si>
  <si>
    <t>Probability:</t>
  </si>
  <si>
    <t>In a playlist of 8 songs on Spotify, 3 are by Arijit Singh. If you shuffle and play one random song, what is the probability that it is NOT by Arijit Singh? Show your working.</t>
  </si>
  <si>
    <t>Total Outcome:</t>
  </si>
  <si>
    <t>Total Songs:</t>
  </si>
  <si>
    <t>Songs By Arijit Singh:</t>
  </si>
  <si>
    <t>Songs NOT By Arijit Singh:</t>
  </si>
  <si>
    <t>Probability of NOT by Arijit Singh</t>
  </si>
  <si>
    <t>A Zomato user places an order. The probability they order Pizza is 0.3, and the probability they order Burger is 0.4. If the probability they order both is 0.1, use the addition rule to find the probability the user orders Pizza or Burger.&lt;br&gt;&lt;br&gt;&lt;em&gt;&lt;strong&gt;Hint:&lt;/strong&gt; P(A or B) = P(A) + P(B) - P(A and B)&lt;/em&gt;</t>
  </si>
  <si>
    <t>Probability of Pizza [P(P)] :</t>
  </si>
  <si>
    <t>Probability of Burger [P(B)] :</t>
  </si>
  <si>
    <t>Probability of Pizza &amp; Burger [P(P &amp; B)] :</t>
  </si>
  <si>
    <r>
      <t xml:space="preserve">Probability of Pizza </t>
    </r>
    <r>
      <rPr>
        <b/>
        <sz val="11"/>
        <color theme="1"/>
        <rFont val="Calibri"/>
        <family val="2"/>
        <scheme val="minor"/>
      </rPr>
      <t>OR</t>
    </r>
    <r>
      <rPr>
        <sz val="11"/>
        <color theme="1"/>
        <rFont val="Calibri"/>
        <family val="2"/>
        <scheme val="minor"/>
      </rPr>
      <t xml:space="preserve"> Burger [P(P or B)] :</t>
    </r>
  </si>
  <si>
    <t>A Flipkart user is browsing electronics. The probability they add a phone to cart is 0.2. If you know they are interested in mobiles, the probability rises to 0.5. Briefly explain in your own words what this conditional probability means, using this scenario.</t>
  </si>
  <si>
    <r>
      <t xml:space="preserve">Conditional Probability                                                                                                                                                                </t>
    </r>
    <r>
      <rPr>
        <sz val="13.5"/>
        <color theme="1"/>
        <rFont val="Calibri"/>
        <family val="2"/>
        <scheme val="minor"/>
      </rPr>
      <t xml:space="preserve"> Conditional probability means finding the probability of an event when we already know that another condition is true.</t>
    </r>
  </si>
  <si>
    <t>Probability of adding a phone normally = 0.2 (20%)</t>
  </si>
  <si>
    <t>Probability of adding a phone given that the user is interested in mobiles = 0.5 (50%)</t>
  </si>
  <si>
    <t>So, if we already know the Flipkart user is interested in mobiles, their chance of adding a phone to the cart increases from 20% to 50%.                                         In simple words: Knowing the user's interest in mobiles gives us additional information that changes the probability of adding a phone.</t>
  </si>
  <si>
    <t>So, here the change probability of phone is known as Conditional Probability as it was computed after knowing the additional information or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</si>
</sst>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Calibri"/>
      <family val="2"/>
      <scheme val="minor"/>
    </font>
    <font>
      <b/>
      <sz val="13.5"/>
      <color theme="1"/>
      <name val="Calibri"/>
      <family val="2"/>
      <scheme val="minor"/>
    </font>
    <font>
      <sz val="9"/>
      <color rgb="FF878A99"/>
      <name val="Segoe UI"/>
      <family val="2"/>
    </font>
    <font>
      <b/>
      <sz val="9"/>
      <color rgb="FF878A99"/>
      <name val="Segoe UI"/>
      <family val="2"/>
    </font>
    <font>
      <sz val="13.5"/>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2" fillId="0" borderId="0" xfId="0" applyFont="1"/>
    <xf numFmtId="0" fontId="0" fillId="0" borderId="0" xfId="0"/>
    <xf numFmtId="0" fontId="0" fillId="0" borderId="0" xfId="0" applyAlignment="1">
      <alignment vertical="top" wrapText="1"/>
    </xf>
    <xf numFmtId="0" fontId="0" fillId="0" borderId="0" xfId="0" applyFont="1"/>
    <xf numFmtId="0" fontId="3" fillId="0" borderId="1" xfId="0" applyFont="1" applyBorder="1" applyAlignment="1">
      <alignment vertical="center"/>
    </xf>
    <xf numFmtId="0" fontId="0" fillId="0" borderId="1" xfId="0" applyBorder="1"/>
    <xf numFmtId="0" fontId="5" fillId="0" borderId="1" xfId="0" applyFont="1" applyBorder="1"/>
    <xf numFmtId="0" fontId="4" fillId="0" borderId="1" xfId="0" applyFont="1" applyBorder="1"/>
    <xf numFmtId="0" fontId="0" fillId="0" borderId="0" xfId="0" applyAlignment="1">
      <alignment horizontal="right"/>
    </xf>
    <xf numFmtId="0" fontId="0" fillId="0" borderId="1" xfId="0" applyBorder="1" applyAlignment="1">
      <alignment horizontal="right"/>
    </xf>
    <xf numFmtId="0" fontId="0" fillId="2" borderId="1" xfId="0" applyFill="1" applyBorder="1" applyAlignment="1">
      <alignment horizontal="right"/>
    </xf>
    <xf numFmtId="9" fontId="0" fillId="2" borderId="1" xfId="1" applyFont="1" applyFill="1" applyBorder="1"/>
    <xf numFmtId="0" fontId="0" fillId="0" borderId="1" xfId="0" applyBorder="1" applyAlignment="1">
      <alignment horizontal="center" vertical="center"/>
    </xf>
    <xf numFmtId="0" fontId="0" fillId="0" borderId="1" xfId="0" applyBorder="1"/>
    <xf numFmtId="10" fontId="0" fillId="2" borderId="1" xfId="1" applyNumberFormat="1" applyFont="1" applyFill="1" applyBorder="1"/>
    <xf numFmtId="0" fontId="5" fillId="0" borderId="1" xfId="0" applyFont="1" applyBorder="1" applyAlignment="1">
      <alignment horizontal="left" vertical="center" wrapText="1"/>
    </xf>
    <xf numFmtId="0" fontId="0" fillId="0" borderId="0" xfId="0" applyAlignment="1">
      <alignment horizontal="right"/>
    </xf>
    <xf numFmtId="0" fontId="0" fillId="2" borderId="1" xfId="0" applyFill="1" applyBorder="1"/>
    <xf numFmtId="0" fontId="3" fillId="0" borderId="1" xfId="0" applyFont="1" applyBorder="1" applyAlignment="1">
      <alignment horizontal="left" vertical="top" wrapText="1"/>
    </xf>
    <xf numFmtId="0" fontId="0" fillId="0" borderId="0" xfId="0"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16"/>
  <sheetViews>
    <sheetView workbookViewId="0">
      <selection activeCell="H8" sqref="H8"/>
    </sheetView>
  </sheetViews>
  <sheetFormatPr defaultRowHeight="15" x14ac:dyDescent="0.25"/>
  <cols>
    <col min="2" max="2" width="8.85546875" customWidth="1"/>
  </cols>
  <sheetData>
    <row r="2" spans="2:15" x14ac:dyDescent="0.25">
      <c r="B2" s="7" t="s">
        <v>16</v>
      </c>
      <c r="C2" s="7"/>
      <c r="D2" s="7"/>
      <c r="E2" s="7"/>
      <c r="F2" s="7"/>
      <c r="G2" s="7"/>
      <c r="H2" s="7"/>
      <c r="I2" s="7"/>
      <c r="J2" s="7"/>
      <c r="K2" s="7"/>
      <c r="L2" s="7"/>
      <c r="M2" s="7"/>
      <c r="N2" s="7"/>
      <c r="O2" s="7"/>
    </row>
    <row r="4" spans="2:15" x14ac:dyDescent="0.25">
      <c r="B4" s="4" t="s">
        <v>2</v>
      </c>
      <c r="C4" s="4"/>
      <c r="D4" s="4"/>
      <c r="E4" s="4"/>
      <c r="F4" s="4"/>
      <c r="G4" s="4"/>
      <c r="H4" s="4"/>
      <c r="I4" s="4"/>
      <c r="J4" s="4"/>
      <c r="K4" s="4"/>
    </row>
    <row r="5" spans="2:15" x14ac:dyDescent="0.25">
      <c r="B5" s="3" t="s">
        <v>3</v>
      </c>
      <c r="C5" s="3"/>
      <c r="D5" s="3"/>
      <c r="E5" s="3"/>
    </row>
    <row r="6" spans="2:15" x14ac:dyDescent="0.25">
      <c r="B6" s="3"/>
      <c r="C6" s="3"/>
      <c r="D6" s="3"/>
      <c r="E6" s="3"/>
    </row>
    <row r="7" spans="2:15" x14ac:dyDescent="0.25">
      <c r="B7" s="3"/>
      <c r="C7" s="3"/>
      <c r="D7" s="3"/>
      <c r="E7" s="3"/>
    </row>
    <row r="8" spans="2:15" x14ac:dyDescent="0.25">
      <c r="B8" s="1" t="s">
        <v>1</v>
      </c>
    </row>
    <row r="10" spans="2:15" ht="18" x14ac:dyDescent="0.25">
      <c r="B10" s="5" t="s">
        <v>0</v>
      </c>
      <c r="C10" s="5"/>
    </row>
    <row r="11" spans="2:15" x14ac:dyDescent="0.25">
      <c r="B11" s="6" t="s">
        <v>4</v>
      </c>
      <c r="C11" s="6" t="s">
        <v>10</v>
      </c>
    </row>
    <row r="12" spans="2:15" x14ac:dyDescent="0.25">
      <c r="B12" s="6" t="s">
        <v>5</v>
      </c>
      <c r="C12" s="6" t="s">
        <v>11</v>
      </c>
    </row>
    <row r="13" spans="2:15" x14ac:dyDescent="0.25">
      <c r="B13" s="6" t="s">
        <v>6</v>
      </c>
      <c r="C13" s="6" t="s">
        <v>12</v>
      </c>
    </row>
    <row r="14" spans="2:15" x14ac:dyDescent="0.25">
      <c r="B14" s="6" t="s">
        <v>7</v>
      </c>
      <c r="C14" s="6" t="s">
        <v>13</v>
      </c>
    </row>
    <row r="15" spans="2:15" x14ac:dyDescent="0.25">
      <c r="B15" s="6" t="s">
        <v>8</v>
      </c>
      <c r="C15" s="6" t="s">
        <v>14</v>
      </c>
    </row>
    <row r="16" spans="2:15" x14ac:dyDescent="0.25">
      <c r="B16" s="6" t="s">
        <v>9</v>
      </c>
      <c r="C16" s="6" t="s">
        <v>15</v>
      </c>
    </row>
  </sheetData>
  <mergeCells count="4">
    <mergeCell ref="B4:K4"/>
    <mergeCell ref="B5:E7"/>
    <mergeCell ref="B10:C10"/>
    <mergeCell ref="B2:O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221F9-C633-465C-BC33-D5B5FA4C1B7C}">
  <dimension ref="B2:O16"/>
  <sheetViews>
    <sheetView workbookViewId="0">
      <selection activeCell="E17" sqref="E17"/>
    </sheetView>
  </sheetViews>
  <sheetFormatPr defaultRowHeight="15" x14ac:dyDescent="0.25"/>
  <cols>
    <col min="2" max="2" width="10" bestFit="1" customWidth="1"/>
    <col min="5" max="5" width="10.7109375" customWidth="1"/>
    <col min="6" max="6" width="11" customWidth="1"/>
  </cols>
  <sheetData>
    <row r="2" spans="2:15" x14ac:dyDescent="0.25">
      <c r="B2" s="8" t="s">
        <v>17</v>
      </c>
      <c r="C2" s="8"/>
      <c r="D2" s="8"/>
      <c r="E2" s="8"/>
      <c r="F2" s="8"/>
      <c r="G2" s="8"/>
      <c r="H2" s="8"/>
      <c r="I2" s="8"/>
      <c r="J2" s="8"/>
      <c r="K2" s="8"/>
      <c r="L2" s="8"/>
      <c r="M2" s="8"/>
      <c r="N2" s="8"/>
      <c r="O2" s="8"/>
    </row>
    <row r="4" spans="2:15" x14ac:dyDescent="0.25">
      <c r="B4" s="2" t="s">
        <v>18</v>
      </c>
      <c r="C4" s="2"/>
      <c r="D4" s="2"/>
      <c r="E4" s="2"/>
      <c r="F4" s="2"/>
    </row>
    <row r="6" spans="2:15" x14ac:dyDescent="0.25">
      <c r="B6" s="6" t="s">
        <v>19</v>
      </c>
      <c r="C6" s="6" t="s">
        <v>23</v>
      </c>
    </row>
    <row r="7" spans="2:15" x14ac:dyDescent="0.25">
      <c r="B7" s="13">
        <v>1</v>
      </c>
      <c r="C7" s="6" t="s">
        <v>24</v>
      </c>
      <c r="E7" s="10" t="s">
        <v>20</v>
      </c>
      <c r="F7" s="10"/>
      <c r="G7" s="6">
        <f>COUNT($B$7:$B$16)</f>
        <v>10</v>
      </c>
      <c r="H7" s="6">
        <f>COUNT($B$7:$B$16)</f>
        <v>10</v>
      </c>
    </row>
    <row r="8" spans="2:15" x14ac:dyDescent="0.25">
      <c r="B8" s="13">
        <v>2</v>
      </c>
      <c r="C8" s="6" t="s">
        <v>25</v>
      </c>
      <c r="E8" s="10" t="s">
        <v>21</v>
      </c>
      <c r="F8" s="10"/>
      <c r="G8" s="6">
        <f>COUNTIF($C$7:$C$16,"EVEN")</f>
        <v>5</v>
      </c>
      <c r="H8" s="6" cm="1">
        <f t="array" ref="H8">SUMPRODUCT(--(MOD(B7:B16,2)=0))</f>
        <v>5</v>
      </c>
    </row>
    <row r="9" spans="2:15" x14ac:dyDescent="0.25">
      <c r="B9" s="13">
        <v>3</v>
      </c>
      <c r="C9" s="6" t="s">
        <v>24</v>
      </c>
      <c r="E9" s="10" t="s">
        <v>22</v>
      </c>
      <c r="F9" s="10"/>
      <c r="G9" s="6">
        <f>G7-G8</f>
        <v>5</v>
      </c>
      <c r="H9" s="6">
        <f>H7-H8</f>
        <v>5</v>
      </c>
    </row>
    <row r="10" spans="2:15" x14ac:dyDescent="0.25">
      <c r="B10" s="13">
        <v>4</v>
      </c>
      <c r="C10" s="6" t="s">
        <v>25</v>
      </c>
      <c r="E10" s="11" t="s">
        <v>26</v>
      </c>
      <c r="F10" s="11"/>
      <c r="G10" s="12">
        <f>G8/G7</f>
        <v>0.5</v>
      </c>
      <c r="H10" s="12">
        <f>H8/H7</f>
        <v>0.5</v>
      </c>
    </row>
    <row r="11" spans="2:15" x14ac:dyDescent="0.25">
      <c r="B11" s="13">
        <v>5</v>
      </c>
      <c r="C11" s="6" t="s">
        <v>24</v>
      </c>
    </row>
    <row r="12" spans="2:15" x14ac:dyDescent="0.25">
      <c r="B12" s="13">
        <v>6</v>
      </c>
      <c r="C12" s="6" t="s">
        <v>25</v>
      </c>
    </row>
    <row r="13" spans="2:15" x14ac:dyDescent="0.25">
      <c r="B13" s="13">
        <v>7</v>
      </c>
      <c r="C13" s="6" t="s">
        <v>24</v>
      </c>
    </row>
    <row r="14" spans="2:15" x14ac:dyDescent="0.25">
      <c r="B14" s="13">
        <v>8</v>
      </c>
      <c r="C14" s="6" t="s">
        <v>25</v>
      </c>
    </row>
    <row r="15" spans="2:15" x14ac:dyDescent="0.25">
      <c r="B15" s="13">
        <v>9</v>
      </c>
      <c r="C15" s="6" t="s">
        <v>24</v>
      </c>
    </row>
    <row r="16" spans="2:15" x14ac:dyDescent="0.25">
      <c r="B16" s="13">
        <v>10</v>
      </c>
      <c r="C16" s="6" t="s">
        <v>25</v>
      </c>
    </row>
  </sheetData>
  <mergeCells count="6">
    <mergeCell ref="B2:O2"/>
    <mergeCell ref="B4:F4"/>
    <mergeCell ref="E7:F7"/>
    <mergeCell ref="E8:F8"/>
    <mergeCell ref="E9:F9"/>
    <mergeCell ref="E10:F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04F88-7E5A-4468-8AE4-4A48CC71130C}">
  <dimension ref="B2:O11"/>
  <sheetViews>
    <sheetView workbookViewId="0">
      <selection activeCell="H13" sqref="H13"/>
    </sheetView>
  </sheetViews>
  <sheetFormatPr defaultRowHeight="15" x14ac:dyDescent="0.25"/>
  <cols>
    <col min="1" max="1" width="6.5703125" customWidth="1"/>
    <col min="2" max="2" width="12" customWidth="1"/>
    <col min="3" max="3" width="13.5703125" customWidth="1"/>
  </cols>
  <sheetData>
    <row r="2" spans="2:15" x14ac:dyDescent="0.25">
      <c r="B2" s="7" t="s">
        <v>27</v>
      </c>
      <c r="C2" s="7"/>
      <c r="D2" s="7"/>
      <c r="E2" s="7"/>
      <c r="F2" s="7"/>
      <c r="G2" s="7"/>
      <c r="H2" s="7"/>
      <c r="I2" s="7"/>
      <c r="J2" s="7"/>
      <c r="K2" s="7"/>
      <c r="L2" s="7"/>
      <c r="M2" s="7"/>
      <c r="N2" s="7"/>
      <c r="O2" s="7"/>
    </row>
    <row r="4" spans="2:15" x14ac:dyDescent="0.25">
      <c r="B4" s="9" t="s">
        <v>29</v>
      </c>
      <c r="C4" s="9"/>
      <c r="D4">
        <v>8</v>
      </c>
    </row>
    <row r="5" spans="2:15" x14ac:dyDescent="0.25">
      <c r="B5" s="9" t="s">
        <v>30</v>
      </c>
      <c r="C5" s="9"/>
      <c r="D5">
        <v>3</v>
      </c>
    </row>
    <row r="6" spans="2:15" x14ac:dyDescent="0.25">
      <c r="B6" s="9" t="s">
        <v>31</v>
      </c>
      <c r="C6" s="9"/>
      <c r="D6">
        <f>D4-D5</f>
        <v>5</v>
      </c>
    </row>
    <row r="8" spans="2:15" x14ac:dyDescent="0.25">
      <c r="C8" s="14" t="s">
        <v>32</v>
      </c>
      <c r="D8" s="14"/>
      <c r="E8" s="14"/>
    </row>
    <row r="9" spans="2:15" x14ac:dyDescent="0.25">
      <c r="C9" s="10" t="s">
        <v>21</v>
      </c>
      <c r="D9" s="10"/>
      <c r="E9" s="6">
        <v>5</v>
      </c>
    </row>
    <row r="10" spans="2:15" x14ac:dyDescent="0.25">
      <c r="C10" s="10" t="s">
        <v>28</v>
      </c>
      <c r="D10" s="10"/>
      <c r="E10" s="6">
        <v>8</v>
      </c>
    </row>
    <row r="11" spans="2:15" x14ac:dyDescent="0.25">
      <c r="C11" s="11" t="s">
        <v>26</v>
      </c>
      <c r="D11" s="11"/>
      <c r="E11" s="15">
        <f>E9/E10</f>
        <v>0.625</v>
      </c>
    </row>
  </sheetData>
  <mergeCells count="8">
    <mergeCell ref="C10:D10"/>
    <mergeCell ref="C11:D11"/>
    <mergeCell ref="B2:O2"/>
    <mergeCell ref="B4:C4"/>
    <mergeCell ref="B6:C6"/>
    <mergeCell ref="B5:C5"/>
    <mergeCell ref="C8:E8"/>
    <mergeCell ref="C9:D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FB66F-40AE-4939-8A58-DB66F751C4DA}">
  <dimension ref="B2:P9"/>
  <sheetViews>
    <sheetView workbookViewId="0">
      <selection activeCell="G17" sqref="G17"/>
    </sheetView>
  </sheetViews>
  <sheetFormatPr defaultRowHeight="15" x14ac:dyDescent="0.25"/>
  <cols>
    <col min="5" max="5" width="10.5703125" customWidth="1"/>
  </cols>
  <sheetData>
    <row r="2" spans="2:16" x14ac:dyDescent="0.25">
      <c r="B2" s="16" t="s">
        <v>33</v>
      </c>
      <c r="C2" s="16"/>
      <c r="D2" s="16"/>
      <c r="E2" s="16"/>
      <c r="F2" s="16"/>
      <c r="G2" s="16"/>
      <c r="H2" s="16"/>
      <c r="I2" s="16"/>
      <c r="J2" s="16"/>
      <c r="K2" s="16"/>
      <c r="L2" s="16"/>
      <c r="M2" s="16"/>
      <c r="N2" s="16"/>
      <c r="O2" s="16"/>
      <c r="P2" s="16"/>
    </row>
    <row r="3" spans="2:16" x14ac:dyDescent="0.25">
      <c r="B3" s="16"/>
      <c r="C3" s="16"/>
      <c r="D3" s="16"/>
      <c r="E3" s="16"/>
      <c r="F3" s="16"/>
      <c r="G3" s="16"/>
      <c r="H3" s="16"/>
      <c r="I3" s="16"/>
      <c r="J3" s="16"/>
      <c r="K3" s="16"/>
      <c r="L3" s="16"/>
      <c r="M3" s="16"/>
      <c r="N3" s="16"/>
      <c r="O3" s="16"/>
      <c r="P3" s="16"/>
    </row>
    <row r="5" spans="2:16" x14ac:dyDescent="0.25">
      <c r="B5" s="10" t="s">
        <v>34</v>
      </c>
      <c r="C5" s="10"/>
      <c r="D5" s="10"/>
      <c r="E5" s="10"/>
      <c r="F5" s="6">
        <v>0.3</v>
      </c>
    </row>
    <row r="6" spans="2:16" x14ac:dyDescent="0.25">
      <c r="B6" s="10" t="s">
        <v>35</v>
      </c>
      <c r="C6" s="10"/>
      <c r="D6" s="10"/>
      <c r="E6" s="10"/>
      <c r="F6" s="6">
        <v>0.4</v>
      </c>
    </row>
    <row r="7" spans="2:16" x14ac:dyDescent="0.25">
      <c r="B7" s="10" t="s">
        <v>36</v>
      </c>
      <c r="C7" s="10"/>
      <c r="D7" s="10"/>
      <c r="E7" s="10"/>
      <c r="F7" s="6">
        <v>0.1</v>
      </c>
    </row>
    <row r="8" spans="2:16" x14ac:dyDescent="0.25">
      <c r="B8" s="17"/>
      <c r="C8" s="17"/>
      <c r="D8" s="17"/>
      <c r="E8" s="17"/>
    </row>
    <row r="9" spans="2:16" x14ac:dyDescent="0.25">
      <c r="B9" s="11" t="s">
        <v>37</v>
      </c>
      <c r="C9" s="11"/>
      <c r="D9" s="11"/>
      <c r="E9" s="11"/>
      <c r="F9" s="18">
        <f>(F5+F6)-F7</f>
        <v>0.6</v>
      </c>
    </row>
  </sheetData>
  <mergeCells count="5">
    <mergeCell ref="B2:P3"/>
    <mergeCell ref="B5:E5"/>
    <mergeCell ref="B6:E6"/>
    <mergeCell ref="B7:E7"/>
    <mergeCell ref="B9:E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3C7A8-303D-4AAA-B1BD-A309DF79F1A8}">
  <dimension ref="B2:P14"/>
  <sheetViews>
    <sheetView tabSelected="1" workbookViewId="0">
      <selection activeCell="E18" sqref="E18"/>
    </sheetView>
  </sheetViews>
  <sheetFormatPr defaultRowHeight="15" x14ac:dyDescent="0.25"/>
  <sheetData>
    <row r="2" spans="2:16" x14ac:dyDescent="0.25">
      <c r="B2" s="16" t="s">
        <v>38</v>
      </c>
      <c r="C2" s="16"/>
      <c r="D2" s="16"/>
      <c r="E2" s="16"/>
      <c r="F2" s="16"/>
      <c r="G2" s="16"/>
      <c r="H2" s="16"/>
      <c r="I2" s="16"/>
      <c r="J2" s="16"/>
      <c r="K2" s="16"/>
      <c r="L2" s="16"/>
      <c r="M2" s="16"/>
      <c r="N2" s="16"/>
      <c r="O2" s="16"/>
    </row>
    <row r="3" spans="2:16" x14ac:dyDescent="0.25">
      <c r="B3" s="16"/>
      <c r="C3" s="16"/>
      <c r="D3" s="16"/>
      <c r="E3" s="16"/>
      <c r="F3" s="16"/>
      <c r="G3" s="16"/>
      <c r="H3" s="16"/>
      <c r="I3" s="16"/>
      <c r="J3" s="16"/>
      <c r="K3" s="16"/>
      <c r="L3" s="16"/>
      <c r="M3" s="16"/>
      <c r="N3" s="16"/>
      <c r="O3" s="16"/>
    </row>
    <row r="5" spans="2:16" ht="18" customHeight="1" x14ac:dyDescent="0.25">
      <c r="B5" s="19" t="s">
        <v>39</v>
      </c>
      <c r="C5" s="19"/>
      <c r="D5" s="19"/>
      <c r="E5" s="19"/>
      <c r="F5" s="19"/>
      <c r="G5" s="19"/>
      <c r="H5" s="19"/>
      <c r="I5" s="19"/>
      <c r="J5" s="19"/>
      <c r="K5" s="19"/>
      <c r="L5" s="19"/>
      <c r="M5" s="19"/>
      <c r="N5" s="19"/>
      <c r="O5" s="19"/>
    </row>
    <row r="6" spans="2:16" ht="21" customHeight="1" x14ac:dyDescent="0.25">
      <c r="B6" s="19"/>
      <c r="C6" s="19"/>
      <c r="D6" s="19"/>
      <c r="E6" s="19"/>
      <c r="F6" s="19"/>
      <c r="G6" s="19"/>
      <c r="H6" s="19"/>
      <c r="I6" s="19"/>
      <c r="J6" s="19"/>
      <c r="K6" s="19"/>
      <c r="L6" s="19"/>
      <c r="M6" s="19"/>
      <c r="N6" s="19"/>
      <c r="O6" s="19"/>
    </row>
    <row r="8" spans="2:16" x14ac:dyDescent="0.25">
      <c r="B8" s="4" t="s">
        <v>40</v>
      </c>
      <c r="C8" s="4"/>
      <c r="D8" s="4"/>
      <c r="E8" s="4"/>
      <c r="F8" s="4"/>
      <c r="G8" s="4"/>
      <c r="H8" s="4"/>
      <c r="I8" s="4"/>
      <c r="J8" s="4"/>
    </row>
    <row r="9" spans="2:16" x14ac:dyDescent="0.25">
      <c r="B9" s="4" t="s">
        <v>41</v>
      </c>
      <c r="C9" s="4"/>
      <c r="D9" s="4"/>
      <c r="E9" s="4"/>
      <c r="F9" s="4"/>
      <c r="G9" s="4"/>
      <c r="H9" s="4"/>
      <c r="I9" s="4"/>
      <c r="J9" s="4"/>
    </row>
    <row r="11" spans="2:16" x14ac:dyDescent="0.25">
      <c r="B11" s="20" t="s">
        <v>42</v>
      </c>
      <c r="C11" s="20"/>
      <c r="D11" s="20"/>
      <c r="E11" s="20"/>
      <c r="F11" s="20"/>
      <c r="G11" s="20"/>
      <c r="H11" s="20"/>
      <c r="I11" s="20"/>
      <c r="J11" s="20"/>
      <c r="K11" s="20"/>
      <c r="L11" s="20"/>
      <c r="M11" s="20"/>
      <c r="N11" s="20"/>
      <c r="O11" s="20"/>
      <c r="P11" s="20"/>
    </row>
    <row r="12" spans="2:16" x14ac:dyDescent="0.25">
      <c r="B12" s="20"/>
      <c r="C12" s="20"/>
      <c r="D12" s="20"/>
      <c r="E12" s="20"/>
      <c r="F12" s="20"/>
      <c r="G12" s="20"/>
      <c r="H12" s="20"/>
      <c r="I12" s="20"/>
      <c r="J12" s="20"/>
      <c r="K12" s="20"/>
      <c r="L12" s="20"/>
      <c r="M12" s="20"/>
      <c r="N12" s="20"/>
      <c r="O12" s="20"/>
      <c r="P12" s="20"/>
    </row>
    <row r="13" spans="2:16" x14ac:dyDescent="0.25">
      <c r="B13" s="1"/>
    </row>
    <row r="14" spans="2:16" x14ac:dyDescent="0.25">
      <c r="B14" s="2" t="s">
        <v>43</v>
      </c>
      <c r="C14" s="2"/>
      <c r="D14" s="2"/>
      <c r="E14" s="2"/>
      <c r="F14" s="2"/>
      <c r="G14" s="2"/>
      <c r="H14" s="2"/>
      <c r="I14" s="2"/>
      <c r="J14" s="2"/>
      <c r="K14" s="2"/>
      <c r="L14" s="2"/>
      <c r="M14" s="2"/>
      <c r="N14" s="2"/>
      <c r="O14" s="2"/>
      <c r="P14" s="2"/>
    </row>
  </sheetData>
  <mergeCells count="6">
    <mergeCell ref="B11:P12"/>
    <mergeCell ref="B14:P14"/>
    <mergeCell ref="B2:O3"/>
    <mergeCell ref="B5:O6"/>
    <mergeCell ref="B9:J9"/>
    <mergeCell ref="B8:J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2026-08-21T03:27:56Z</dcterms:modified>
</cp:coreProperties>
</file>