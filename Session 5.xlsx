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STATS\ASSINGNMENT\"/>
    </mc:Choice>
  </mc:AlternateContent>
  <xr:revisionPtr revIDLastSave="0" documentId="13_ncr:1_{65FE1E30-DC39-41A3-BFD3-1DA20FDDBDFD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</sheets>
  <definedNames>
    <definedName name="_xlchart.v1.0" hidden="1">'5'!$C$5:$C$12</definedName>
    <definedName name="_xlchart.v1.1" hidden="1">'5'!$C$5:$C$12</definedName>
    <definedName name="_xlchart.v1.2" hidden="1">'5'!$B$5:$B$12</definedName>
    <definedName name="_xlchart.v1.3" hidden="1">'5'!$C$4</definedName>
    <definedName name="_xlchart.v1.4" hidden="1">'5'!$C$5:$C$12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5" l="1"/>
  <c r="G7" i="5"/>
  <c r="G6" i="5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5" i="4"/>
  <c r="H8" i="4"/>
  <c r="H7" i="4"/>
  <c r="H6" i="4"/>
  <c r="G11" i="3"/>
  <c r="G9" i="3"/>
  <c r="G8" i="3"/>
  <c r="G10" i="3"/>
  <c r="G9" i="2"/>
  <c r="G8" i="2"/>
  <c r="G7" i="2"/>
  <c r="E8" i="1"/>
  <c r="E7" i="1"/>
  <c r="E6" i="1"/>
  <c r="G9" i="5" l="1"/>
  <c r="G10" i="5" s="1"/>
  <c r="H9" i="4"/>
  <c r="H11" i="4" s="1"/>
  <c r="G11" i="5" l="1"/>
  <c r="H10" i="4"/>
</calcChain>
</file>

<file path=xl/sharedStrings.xml><?xml version="1.0" encoding="utf-8"?>
<sst xmlns="http://schemas.openxmlformats.org/spreadsheetml/2006/main" count="71" uniqueCount="55">
  <si>
    <t>Delivery Time (minutes)</t>
  </si>
  <si>
    <t>Given a list of delivery times (in minutes) for 20 Zomato orders, calculate the 25th, 50th, and 75th percentiles using Python's numpy.percentile function.</t>
  </si>
  <si>
    <t>Quarter 1 (25%)</t>
  </si>
  <si>
    <t>Quarter 2 (50%)</t>
  </si>
  <si>
    <t>Quarter 3 (75%)</t>
  </si>
  <si>
    <t>Minutes</t>
  </si>
  <si>
    <t>Create a Python script that takes an array of IPL player scores and divides them into quartiles using numpy.quantile. Print the values for Q1, Q2 (median), and Q3.</t>
  </si>
  <si>
    <t>Player</t>
  </si>
  <si>
    <t>Score</t>
  </si>
  <si>
    <t>Player 1</t>
  </si>
  <si>
    <t>Player 2</t>
  </si>
  <si>
    <t>Player 3</t>
  </si>
  <si>
    <t>Player 4</t>
  </si>
  <si>
    <t>Player 5</t>
  </si>
  <si>
    <t>Player 6</t>
  </si>
  <si>
    <t>Player 7</t>
  </si>
  <si>
    <t>Player 8</t>
  </si>
  <si>
    <t>Player 9</t>
  </si>
  <si>
    <t>Player 10</t>
  </si>
  <si>
    <t>Player 11</t>
  </si>
  <si>
    <t>Player 12</t>
  </si>
  <si>
    <t>Player 13</t>
  </si>
  <si>
    <t>Player 14</t>
  </si>
  <si>
    <t>Player 15</t>
  </si>
  <si>
    <t>Player 16</t>
  </si>
  <si>
    <t>Player 17</t>
  </si>
  <si>
    <t>Player 18</t>
  </si>
  <si>
    <t>Player 19</t>
  </si>
  <si>
    <t>Player 20</t>
  </si>
  <si>
    <t xml:space="preserve">Quarter 1 </t>
  </si>
  <si>
    <t xml:space="preserve">Quarter 2 </t>
  </si>
  <si>
    <t xml:space="preserve">Quarter 3 </t>
  </si>
  <si>
    <t>Given a list of daily step counts from your fitness app for one month, calculate the Interquartile Range (IQR) in Python and explain what it tells you about your activity consistency.&lt;br&gt;&lt;br&gt;&lt;em&gt;&lt;strong&gt;Hint:&lt;/strong&gt; IQR = Q3 - Q1&lt;/em&gt;</t>
  </si>
  <si>
    <t>Day</t>
  </si>
  <si>
    <t>Steps</t>
  </si>
  <si>
    <t>IQR</t>
  </si>
  <si>
    <r>
      <t xml:space="preserve">Interpretation                                                                                                               </t>
    </r>
    <r>
      <rPr>
        <sz val="13.5"/>
        <color theme="1"/>
        <rFont val="Calibri"/>
        <family val="2"/>
        <scheme val="minor"/>
      </rPr>
      <t>The IQR of 2000 steps means that the middle 50% of daily step counts are spread across a range of 2000 steps.</t>
    </r>
    <r>
      <rPr>
        <b/>
        <sz val="13.5"/>
        <color theme="1"/>
        <rFont val="Calibri"/>
        <family val="2"/>
        <scheme val="minor"/>
      </rPr>
      <t xml:space="preserve">                                                                     </t>
    </r>
    <r>
      <rPr>
        <sz val="13.5"/>
        <color theme="1"/>
        <rFont val="Calibri"/>
        <family val="2"/>
        <scheme val="minor"/>
      </rPr>
      <t>Since the IQR is relatively small compared with the typical daily count, the user's activity is fairly consistent, with moderate variation between days.</t>
    </r>
  </si>
  <si>
    <t>Write a Python function to detect outliers in a list of Swiggy order amounts using the IQR method (any value below Q1 - 1.5*IQR or above Q3 + 1.5*IQR). Print the outlier values.</t>
  </si>
  <si>
    <t>Order</t>
  </si>
  <si>
    <t>Amount (₹)</t>
  </si>
  <si>
    <t>Lower Limt</t>
  </si>
  <si>
    <t>Upper Limit</t>
  </si>
  <si>
    <t>Outliers</t>
  </si>
  <si>
    <t>Using matplotlib, create a boxplot of your weekly screen time (in hours) for the past 8 weeks. Label the axes and highlight any outliers.</t>
  </si>
  <si>
    <t>Week</t>
  </si>
  <si>
    <t>Screen Time (hours)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</si>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</sst>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878A99"/>
      <name val="Segoe UI"/>
      <family val="2"/>
    </font>
    <font>
      <b/>
      <sz val="9"/>
      <color rgb="FF878A99"/>
      <name val="Segoe UI"/>
      <family val="2"/>
    </font>
    <font>
      <b/>
      <sz val="13.5"/>
      <color theme="1"/>
      <name val="Calibri"/>
      <family val="2"/>
      <scheme val="minor"/>
    </font>
    <font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2" borderId="1" xfId="0" applyFill="1" applyBorder="1"/>
    <xf numFmtId="0" fontId="0" fillId="0" borderId="10" xfId="0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0" fillId="2" borderId="14" xfId="0" applyFill="1" applyBorder="1"/>
    <xf numFmtId="0" fontId="0" fillId="2" borderId="15" xfId="0" applyFill="1" applyBorder="1"/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64" fontId="0" fillId="2" borderId="1" xfId="0" applyNumberFormat="1" applyFill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NumberFormat="1" applyBorder="1"/>
    <xf numFmtId="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8 Weeks Screen Time(hrs) in 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8 Weeks Screen Time(hrs) in Box Plot</a:t>
          </a:r>
        </a:p>
      </cx:txPr>
    </cx:title>
    <cx:plotArea>
      <cx:plotAreaRegion>
        <cx:series layoutId="boxWhisker" uniqueId="{00000000-062B-407B-828D-FD00EA4DAC01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3</xdr:row>
      <xdr:rowOff>128587</xdr:rowOff>
    </xdr:from>
    <xdr:to>
      <xdr:col>14</xdr:col>
      <xdr:colOff>542925</xdr:colOff>
      <xdr:row>18</xdr:row>
      <xdr:rowOff>14287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543572F-746E-6723-7740-0845CC7FC1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57775" y="7000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5"/>
  <sheetViews>
    <sheetView workbookViewId="0">
      <selection activeCell="F15" sqref="F15"/>
    </sheetView>
  </sheetViews>
  <sheetFormatPr defaultRowHeight="15" x14ac:dyDescent="0.25"/>
  <cols>
    <col min="2" max="2" width="22.85546875" bestFit="1" customWidth="1"/>
    <col min="4" max="4" width="14.85546875" bestFit="1" customWidth="1"/>
    <col min="5" max="5" width="8.28515625" bestFit="1" customWidth="1"/>
  </cols>
  <sheetData>
    <row r="2" spans="2:16" x14ac:dyDescent="0.25">
      <c r="C2" s="22" t="s">
        <v>1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5" spans="2:16" x14ac:dyDescent="0.25">
      <c r="B5" s="2" t="s">
        <v>0</v>
      </c>
      <c r="D5" s="1"/>
      <c r="E5" s="1" t="s">
        <v>5</v>
      </c>
    </row>
    <row r="6" spans="2:16" x14ac:dyDescent="0.25">
      <c r="B6" s="3">
        <v>28</v>
      </c>
      <c r="D6" s="1" t="s">
        <v>2</v>
      </c>
      <c r="E6" s="1">
        <f>_xlfn.PERCENTILE.INC($B$6:$B$25,25%)</f>
        <v>30.75</v>
      </c>
    </row>
    <row r="7" spans="2:16" x14ac:dyDescent="0.25">
      <c r="B7" s="3">
        <v>35</v>
      </c>
      <c r="D7" s="1" t="s">
        <v>3</v>
      </c>
      <c r="E7" s="1">
        <f>_xlfn.PERCENTILE.INC($B$6:$B$25,50%)</f>
        <v>35.5</v>
      </c>
    </row>
    <row r="8" spans="2:16" x14ac:dyDescent="0.25">
      <c r="B8" s="3">
        <v>42</v>
      </c>
      <c r="D8" s="1" t="s">
        <v>4</v>
      </c>
      <c r="E8" s="1">
        <f>_xlfn.PERCENTILE.INC($B$6:$B$25,75%)</f>
        <v>41.25</v>
      </c>
    </row>
    <row r="9" spans="2:16" x14ac:dyDescent="0.25">
      <c r="B9" s="3">
        <v>30</v>
      </c>
    </row>
    <row r="10" spans="2:16" x14ac:dyDescent="0.25">
      <c r="B10" s="3">
        <v>25</v>
      </c>
    </row>
    <row r="11" spans="2:16" x14ac:dyDescent="0.25">
      <c r="B11" s="3">
        <v>40</v>
      </c>
    </row>
    <row r="12" spans="2:16" x14ac:dyDescent="0.25">
      <c r="B12" s="3">
        <v>32</v>
      </c>
    </row>
    <row r="13" spans="2:16" x14ac:dyDescent="0.25">
      <c r="B13" s="3">
        <v>45</v>
      </c>
    </row>
    <row r="14" spans="2:16" x14ac:dyDescent="0.25">
      <c r="B14" s="3">
        <v>38</v>
      </c>
    </row>
    <row r="15" spans="2:16" x14ac:dyDescent="0.25">
      <c r="B15" s="3">
        <v>29</v>
      </c>
    </row>
    <row r="16" spans="2:16" x14ac:dyDescent="0.25">
      <c r="B16" s="3">
        <v>50</v>
      </c>
    </row>
    <row r="17" spans="2:2" x14ac:dyDescent="0.25">
      <c r="B17" s="3">
        <v>36</v>
      </c>
    </row>
    <row r="18" spans="2:2" x14ac:dyDescent="0.25">
      <c r="B18" s="3">
        <v>41</v>
      </c>
    </row>
    <row r="19" spans="2:2" x14ac:dyDescent="0.25">
      <c r="B19" s="3">
        <v>33</v>
      </c>
    </row>
    <row r="20" spans="2:2" x14ac:dyDescent="0.25">
      <c r="B20" s="3">
        <v>27</v>
      </c>
    </row>
    <row r="21" spans="2:2" x14ac:dyDescent="0.25">
      <c r="B21" s="3">
        <v>48</v>
      </c>
    </row>
    <row r="22" spans="2:2" x14ac:dyDescent="0.25">
      <c r="B22" s="3">
        <v>31</v>
      </c>
    </row>
    <row r="23" spans="2:2" x14ac:dyDescent="0.25">
      <c r="B23" s="3">
        <v>39</v>
      </c>
    </row>
    <row r="24" spans="2:2" x14ac:dyDescent="0.25">
      <c r="B24" s="3">
        <v>44</v>
      </c>
    </row>
    <row r="25" spans="2:2" x14ac:dyDescent="0.25">
      <c r="B25" s="3">
        <v>34</v>
      </c>
    </row>
  </sheetData>
  <mergeCells count="1">
    <mergeCell ref="C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1348E-FBF8-4E82-8710-3531859370D3}">
  <dimension ref="B2:O25"/>
  <sheetViews>
    <sheetView workbookViewId="0">
      <selection activeCell="G13" sqref="G13"/>
    </sheetView>
  </sheetViews>
  <sheetFormatPr defaultRowHeight="15" x14ac:dyDescent="0.25"/>
  <cols>
    <col min="2" max="2" width="9" bestFit="1" customWidth="1"/>
    <col min="3" max="3" width="9.140625" customWidth="1"/>
    <col min="6" max="6" width="9.7109375" bestFit="1" customWidth="1"/>
    <col min="7" max="7" width="7.5703125" customWidth="1"/>
  </cols>
  <sheetData>
    <row r="2" spans="2:15" x14ac:dyDescent="0.25">
      <c r="B2" s="22" t="s">
        <v>6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5" spans="2:15" x14ac:dyDescent="0.25">
      <c r="B5" s="4" t="s">
        <v>7</v>
      </c>
      <c r="C5" s="5" t="s">
        <v>8</v>
      </c>
    </row>
    <row r="6" spans="2:15" x14ac:dyDescent="0.25">
      <c r="B6" s="6" t="s">
        <v>9</v>
      </c>
      <c r="C6" s="7">
        <v>25</v>
      </c>
      <c r="F6" s="1"/>
      <c r="G6" s="8" t="s">
        <v>8</v>
      </c>
    </row>
    <row r="7" spans="2:15" x14ac:dyDescent="0.25">
      <c r="B7" s="6" t="s">
        <v>10</v>
      </c>
      <c r="C7" s="7">
        <v>45</v>
      </c>
      <c r="F7" s="1" t="s">
        <v>29</v>
      </c>
      <c r="G7" s="1">
        <f>_xlfn.QUARTILE.INC($C$6:$C$25,1)</f>
        <v>44</v>
      </c>
    </row>
    <row r="8" spans="2:15" x14ac:dyDescent="0.25">
      <c r="B8" s="6" t="s">
        <v>11</v>
      </c>
      <c r="C8" s="7">
        <v>67</v>
      </c>
      <c r="F8" s="1" t="s">
        <v>30</v>
      </c>
      <c r="G8" s="1">
        <f>_xlfn.QUARTILE.INC($C$6:$C$25,2)</f>
        <v>60.5</v>
      </c>
    </row>
    <row r="9" spans="2:15" x14ac:dyDescent="0.25">
      <c r="B9" s="6" t="s">
        <v>12</v>
      </c>
      <c r="C9" s="7">
        <v>32</v>
      </c>
      <c r="F9" s="1" t="s">
        <v>31</v>
      </c>
      <c r="G9" s="1">
        <f>_xlfn.QUARTILE.INC($C$6:$C$25,3)</f>
        <v>77.25</v>
      </c>
    </row>
    <row r="10" spans="2:15" x14ac:dyDescent="0.25">
      <c r="B10" s="6" t="s">
        <v>13</v>
      </c>
      <c r="C10" s="7">
        <v>89</v>
      </c>
    </row>
    <row r="11" spans="2:15" x14ac:dyDescent="0.25">
      <c r="B11" s="6" t="s">
        <v>14</v>
      </c>
      <c r="C11" s="7">
        <v>54</v>
      </c>
    </row>
    <row r="12" spans="2:15" x14ac:dyDescent="0.25">
      <c r="B12" s="6" t="s">
        <v>15</v>
      </c>
      <c r="C12" s="7">
        <v>76</v>
      </c>
    </row>
    <row r="13" spans="2:15" x14ac:dyDescent="0.25">
      <c r="B13" s="6" t="s">
        <v>16</v>
      </c>
      <c r="C13" s="7">
        <v>41</v>
      </c>
    </row>
    <row r="14" spans="2:15" x14ac:dyDescent="0.25">
      <c r="B14" s="6" t="s">
        <v>17</v>
      </c>
      <c r="C14" s="7">
        <v>95</v>
      </c>
    </row>
    <row r="15" spans="2:15" x14ac:dyDescent="0.25">
      <c r="B15" s="6" t="s">
        <v>18</v>
      </c>
      <c r="C15" s="7">
        <v>63</v>
      </c>
    </row>
    <row r="16" spans="2:15" x14ac:dyDescent="0.25">
      <c r="B16" s="6" t="s">
        <v>19</v>
      </c>
      <c r="C16" s="7">
        <v>38</v>
      </c>
    </row>
    <row r="17" spans="2:3" x14ac:dyDescent="0.25">
      <c r="B17" s="6" t="s">
        <v>20</v>
      </c>
      <c r="C17" s="7">
        <v>72</v>
      </c>
    </row>
    <row r="18" spans="2:3" x14ac:dyDescent="0.25">
      <c r="B18" s="6" t="s">
        <v>21</v>
      </c>
      <c r="C18" s="7">
        <v>58</v>
      </c>
    </row>
    <row r="19" spans="2:3" x14ac:dyDescent="0.25">
      <c r="B19" s="6" t="s">
        <v>22</v>
      </c>
      <c r="C19" s="7">
        <v>81</v>
      </c>
    </row>
    <row r="20" spans="2:3" x14ac:dyDescent="0.25">
      <c r="B20" s="6" t="s">
        <v>23</v>
      </c>
      <c r="C20" s="7">
        <v>49</v>
      </c>
    </row>
    <row r="21" spans="2:3" x14ac:dyDescent="0.25">
      <c r="B21" s="6" t="s">
        <v>24</v>
      </c>
      <c r="C21" s="7">
        <v>100</v>
      </c>
    </row>
    <row r="22" spans="2:3" x14ac:dyDescent="0.25">
      <c r="B22" s="6" t="s">
        <v>25</v>
      </c>
      <c r="C22" s="7">
        <v>35</v>
      </c>
    </row>
    <row r="23" spans="2:3" x14ac:dyDescent="0.25">
      <c r="B23" s="6" t="s">
        <v>26</v>
      </c>
      <c r="C23" s="7">
        <v>69</v>
      </c>
    </row>
    <row r="24" spans="2:3" x14ac:dyDescent="0.25">
      <c r="B24" s="6" t="s">
        <v>27</v>
      </c>
      <c r="C24" s="7">
        <v>52</v>
      </c>
    </row>
    <row r="25" spans="2:3" x14ac:dyDescent="0.25">
      <c r="B25" s="6" t="s">
        <v>28</v>
      </c>
      <c r="C25" s="7">
        <v>87</v>
      </c>
    </row>
  </sheetData>
  <mergeCells count="1">
    <mergeCell ref="B2: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DF71-2301-41A4-8158-35FBFD8D7A40}">
  <dimension ref="B2:R36"/>
  <sheetViews>
    <sheetView workbookViewId="0">
      <selection activeCell="F7" sqref="F7:G11"/>
    </sheetView>
  </sheetViews>
  <sheetFormatPr defaultRowHeight="15" x14ac:dyDescent="0.25"/>
  <sheetData>
    <row r="2" spans="2:18" x14ac:dyDescent="0.25">
      <c r="B2" s="23" t="s">
        <v>32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2:18" x14ac:dyDescent="0.25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6" spans="2:18" ht="15.75" thickBot="1" x14ac:dyDescent="0.3">
      <c r="B6" s="4" t="s">
        <v>33</v>
      </c>
      <c r="C6" s="4" t="s">
        <v>34</v>
      </c>
    </row>
    <row r="7" spans="2:18" ht="18" customHeight="1" x14ac:dyDescent="0.25">
      <c r="B7" s="9">
        <v>1</v>
      </c>
      <c r="C7" s="9">
        <v>5200</v>
      </c>
      <c r="F7" s="11"/>
      <c r="G7" s="12" t="s">
        <v>34</v>
      </c>
      <c r="J7" s="24" t="s">
        <v>36</v>
      </c>
      <c r="K7" s="25"/>
      <c r="L7" s="25"/>
      <c r="M7" s="25"/>
      <c r="N7" s="25"/>
      <c r="O7" s="25"/>
      <c r="P7" s="25"/>
      <c r="Q7" s="25"/>
      <c r="R7" s="26"/>
    </row>
    <row r="8" spans="2:18" x14ac:dyDescent="0.25">
      <c r="B8" s="9">
        <v>2</v>
      </c>
      <c r="C8" s="9">
        <v>6800</v>
      </c>
      <c r="F8" s="13" t="s">
        <v>29</v>
      </c>
      <c r="G8" s="14">
        <f>_xlfn.QUARTILE.INC($C$7:$C$36,1)</f>
        <v>5750</v>
      </c>
      <c r="J8" s="27"/>
      <c r="K8" s="28"/>
      <c r="L8" s="28"/>
      <c r="M8" s="28"/>
      <c r="N8" s="28"/>
      <c r="O8" s="28"/>
      <c r="P8" s="28"/>
      <c r="Q8" s="28"/>
      <c r="R8" s="29"/>
    </row>
    <row r="9" spans="2:18" x14ac:dyDescent="0.25">
      <c r="B9" s="9">
        <v>3</v>
      </c>
      <c r="C9" s="9">
        <v>7500</v>
      </c>
      <c r="F9" s="13" t="s">
        <v>30</v>
      </c>
      <c r="G9" s="14">
        <f>_xlfn.QUARTILE.INC($C$7:$C$36,2)</f>
        <v>6750</v>
      </c>
      <c r="J9" s="27"/>
      <c r="K9" s="28"/>
      <c r="L9" s="28"/>
      <c r="M9" s="28"/>
      <c r="N9" s="28"/>
      <c r="O9" s="28"/>
      <c r="P9" s="28"/>
      <c r="Q9" s="28"/>
      <c r="R9" s="29"/>
    </row>
    <row r="10" spans="2:18" x14ac:dyDescent="0.25">
      <c r="B10" s="9">
        <v>4</v>
      </c>
      <c r="C10" s="9">
        <v>4300</v>
      </c>
      <c r="F10" s="13" t="s">
        <v>31</v>
      </c>
      <c r="G10" s="14">
        <f>_xlfn.QUARTILE.INC($C$7:$C$36,3)</f>
        <v>7750</v>
      </c>
      <c r="J10" s="27"/>
      <c r="K10" s="28"/>
      <c r="L10" s="28"/>
      <c r="M10" s="28"/>
      <c r="N10" s="28"/>
      <c r="O10" s="28"/>
      <c r="P10" s="28"/>
      <c r="Q10" s="28"/>
      <c r="R10" s="29"/>
    </row>
    <row r="11" spans="2:18" ht="15.75" thickBot="1" x14ac:dyDescent="0.3">
      <c r="B11" s="9">
        <v>5</v>
      </c>
      <c r="C11" s="9">
        <v>8200</v>
      </c>
      <c r="F11" s="15" t="s">
        <v>35</v>
      </c>
      <c r="G11" s="16">
        <f>G10-G8</f>
        <v>2000</v>
      </c>
      <c r="J11" s="27"/>
      <c r="K11" s="28"/>
      <c r="L11" s="28"/>
      <c r="M11" s="28"/>
      <c r="N11" s="28"/>
      <c r="O11" s="28"/>
      <c r="P11" s="28"/>
      <c r="Q11" s="28"/>
      <c r="R11" s="29"/>
    </row>
    <row r="12" spans="2:18" ht="15.75" thickBot="1" x14ac:dyDescent="0.3">
      <c r="B12" s="9">
        <v>6</v>
      </c>
      <c r="C12" s="9">
        <v>6100</v>
      </c>
      <c r="J12" s="30"/>
      <c r="K12" s="31"/>
      <c r="L12" s="31"/>
      <c r="M12" s="31"/>
      <c r="N12" s="31"/>
      <c r="O12" s="31"/>
      <c r="P12" s="31"/>
      <c r="Q12" s="31"/>
      <c r="R12" s="32"/>
    </row>
    <row r="13" spans="2:18" x14ac:dyDescent="0.25">
      <c r="B13" s="9">
        <v>7</v>
      </c>
      <c r="C13" s="9">
        <v>9000</v>
      </c>
    </row>
    <row r="14" spans="2:18" x14ac:dyDescent="0.25">
      <c r="B14" s="9">
        <v>8</v>
      </c>
      <c r="C14" s="9">
        <v>5600</v>
      </c>
    </row>
    <row r="15" spans="2:18" x14ac:dyDescent="0.25">
      <c r="B15" s="9">
        <v>9</v>
      </c>
      <c r="C15" s="9">
        <v>7200</v>
      </c>
    </row>
    <row r="16" spans="2:18" x14ac:dyDescent="0.25">
      <c r="B16" s="9">
        <v>10</v>
      </c>
      <c r="C16" s="9">
        <v>4800</v>
      </c>
    </row>
    <row r="17" spans="2:3" x14ac:dyDescent="0.25">
      <c r="B17" s="9">
        <v>11</v>
      </c>
      <c r="C17" s="9">
        <v>6500</v>
      </c>
    </row>
    <row r="18" spans="2:3" x14ac:dyDescent="0.25">
      <c r="B18" s="9">
        <v>12</v>
      </c>
      <c r="C18" s="9">
        <v>7800</v>
      </c>
    </row>
    <row r="19" spans="2:3" x14ac:dyDescent="0.25">
      <c r="B19" s="9">
        <v>13</v>
      </c>
      <c r="C19" s="9">
        <v>5900</v>
      </c>
    </row>
    <row r="20" spans="2:3" x14ac:dyDescent="0.25">
      <c r="B20" s="9">
        <v>14</v>
      </c>
      <c r="C20" s="9">
        <v>8500</v>
      </c>
    </row>
    <row r="21" spans="2:3" x14ac:dyDescent="0.25">
      <c r="B21" s="9">
        <v>15</v>
      </c>
      <c r="C21" s="9">
        <v>7000</v>
      </c>
    </row>
    <row r="22" spans="2:3" x14ac:dyDescent="0.25">
      <c r="B22" s="9">
        <v>16</v>
      </c>
      <c r="C22" s="9">
        <v>6200</v>
      </c>
    </row>
    <row r="23" spans="2:3" x14ac:dyDescent="0.25">
      <c r="B23" s="9">
        <v>17</v>
      </c>
      <c r="C23" s="9">
        <v>9400</v>
      </c>
    </row>
    <row r="24" spans="2:3" x14ac:dyDescent="0.25">
      <c r="B24" s="9">
        <v>18</v>
      </c>
      <c r="C24" s="9">
        <v>5100</v>
      </c>
    </row>
    <row r="25" spans="2:3" x14ac:dyDescent="0.25">
      <c r="B25" s="9">
        <v>19</v>
      </c>
      <c r="C25" s="9">
        <v>7300</v>
      </c>
    </row>
    <row r="26" spans="2:3" x14ac:dyDescent="0.25">
      <c r="B26" s="9">
        <v>20</v>
      </c>
      <c r="C26" s="9">
        <v>6700</v>
      </c>
    </row>
    <row r="27" spans="2:3" x14ac:dyDescent="0.25">
      <c r="B27" s="9">
        <v>21</v>
      </c>
      <c r="C27" s="9">
        <v>8800</v>
      </c>
    </row>
    <row r="28" spans="2:3" x14ac:dyDescent="0.25">
      <c r="B28" s="9">
        <v>22</v>
      </c>
      <c r="C28" s="9">
        <v>5400</v>
      </c>
    </row>
    <row r="29" spans="2:3" x14ac:dyDescent="0.25">
      <c r="B29" s="9">
        <v>23</v>
      </c>
      <c r="C29" s="9">
        <v>7600</v>
      </c>
    </row>
    <row r="30" spans="2:3" x14ac:dyDescent="0.25">
      <c r="B30" s="9">
        <v>24</v>
      </c>
      <c r="C30" s="9">
        <v>6900</v>
      </c>
    </row>
    <row r="31" spans="2:3" x14ac:dyDescent="0.25">
      <c r="B31" s="9">
        <v>25</v>
      </c>
      <c r="C31" s="9">
        <v>4600</v>
      </c>
    </row>
    <row r="32" spans="2:3" x14ac:dyDescent="0.25">
      <c r="B32" s="9">
        <v>26</v>
      </c>
      <c r="C32" s="9">
        <v>8100</v>
      </c>
    </row>
    <row r="33" spans="2:3" x14ac:dyDescent="0.25">
      <c r="B33" s="9">
        <v>27</v>
      </c>
      <c r="C33" s="9">
        <v>6000</v>
      </c>
    </row>
    <row r="34" spans="2:3" x14ac:dyDescent="0.25">
      <c r="B34" s="9">
        <v>28</v>
      </c>
      <c r="C34" s="9">
        <v>5700</v>
      </c>
    </row>
    <row r="35" spans="2:3" x14ac:dyDescent="0.25">
      <c r="B35" s="9">
        <v>29</v>
      </c>
      <c r="C35" s="9">
        <v>7900</v>
      </c>
    </row>
    <row r="36" spans="2:3" x14ac:dyDescent="0.25">
      <c r="B36" s="9">
        <v>30</v>
      </c>
      <c r="C36" s="9">
        <v>6400</v>
      </c>
    </row>
  </sheetData>
  <mergeCells count="2">
    <mergeCell ref="B2:P3"/>
    <mergeCell ref="J7:R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D4EF-05A2-4213-B3A1-F433B02A5283}">
  <dimension ref="B2:R24"/>
  <sheetViews>
    <sheetView topLeftCell="A2" workbookViewId="0">
      <selection activeCell="D5" sqref="D5"/>
    </sheetView>
  </sheetViews>
  <sheetFormatPr defaultRowHeight="15" x14ac:dyDescent="0.25"/>
  <cols>
    <col min="2" max="2" width="6.140625" bestFit="1" customWidth="1"/>
    <col min="3" max="3" width="11.140625" bestFit="1" customWidth="1"/>
    <col min="4" max="4" width="9.7109375" bestFit="1" customWidth="1"/>
    <col min="7" max="7" width="11.28515625" bestFit="1" customWidth="1"/>
    <col min="8" max="8" width="11.140625" bestFit="1" customWidth="1"/>
  </cols>
  <sheetData>
    <row r="2" spans="2:18" x14ac:dyDescent="0.25">
      <c r="B2" s="22" t="s">
        <v>37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4" spans="2:18" x14ac:dyDescent="0.25">
      <c r="B4" s="17" t="s">
        <v>38</v>
      </c>
      <c r="C4" s="17" t="s">
        <v>39</v>
      </c>
      <c r="D4" s="17" t="s">
        <v>42</v>
      </c>
    </row>
    <row r="5" spans="2:18" x14ac:dyDescent="0.25">
      <c r="B5" s="3">
        <v>1</v>
      </c>
      <c r="C5" s="18">
        <v>650</v>
      </c>
      <c r="D5" s="18" t="str">
        <f>IF(OR(C5&lt;$H$10,C5&gt;$H$11),C5,"0")</f>
        <v>0</v>
      </c>
      <c r="G5" s="1"/>
      <c r="H5" s="17" t="s">
        <v>39</v>
      </c>
    </row>
    <row r="6" spans="2:18" x14ac:dyDescent="0.25">
      <c r="B6" s="3">
        <v>2</v>
      </c>
      <c r="C6" s="18">
        <v>320</v>
      </c>
      <c r="D6" s="18" t="str">
        <f t="shared" ref="D6:D24" si="0">IF(OR(C6&lt;$H$10,C6&gt;$H$11),C6,"0")</f>
        <v>0</v>
      </c>
      <c r="G6" s="1" t="s">
        <v>29</v>
      </c>
      <c r="H6" s="19">
        <f>_xlfn.QUARTILE.INC($C$7:$C$36,1)</f>
        <v>271.25</v>
      </c>
    </row>
    <row r="7" spans="2:18" x14ac:dyDescent="0.25">
      <c r="B7" s="3">
        <v>3</v>
      </c>
      <c r="C7" s="18">
        <v>750</v>
      </c>
      <c r="D7" s="18">
        <f t="shared" si="0"/>
        <v>750</v>
      </c>
      <c r="G7" s="1" t="s">
        <v>30</v>
      </c>
      <c r="H7" s="19">
        <f>_xlfn.QUARTILE.INC($C$7:$C$36,2)</f>
        <v>335</v>
      </c>
    </row>
    <row r="8" spans="2:18" x14ac:dyDescent="0.25">
      <c r="B8" s="3">
        <v>4</v>
      </c>
      <c r="C8" s="18">
        <v>450</v>
      </c>
      <c r="D8" s="18" t="str">
        <f t="shared" si="0"/>
        <v>0</v>
      </c>
      <c r="G8" s="1" t="s">
        <v>31</v>
      </c>
      <c r="H8" s="19">
        <f>_xlfn.QUARTILE.INC($C$7:$C$36,3)</f>
        <v>440</v>
      </c>
    </row>
    <row r="9" spans="2:18" x14ac:dyDescent="0.25">
      <c r="B9" s="3">
        <v>5</v>
      </c>
      <c r="C9" s="18">
        <v>275</v>
      </c>
      <c r="D9" s="18" t="str">
        <f t="shared" si="0"/>
        <v>0</v>
      </c>
      <c r="G9" s="10" t="s">
        <v>35</v>
      </c>
      <c r="H9" s="20">
        <f>H8-H6</f>
        <v>168.75</v>
      </c>
    </row>
    <row r="10" spans="2:18" x14ac:dyDescent="0.25">
      <c r="B10" s="3">
        <v>6</v>
      </c>
      <c r="C10" s="18">
        <v>390</v>
      </c>
      <c r="D10" s="18" t="str">
        <f t="shared" si="0"/>
        <v>0</v>
      </c>
      <c r="G10" s="1" t="s">
        <v>40</v>
      </c>
      <c r="H10" s="19">
        <f>H6-(H9*1.5)</f>
        <v>18.125</v>
      </c>
    </row>
    <row r="11" spans="2:18" x14ac:dyDescent="0.25">
      <c r="B11" s="3">
        <v>7</v>
      </c>
      <c r="C11" s="18">
        <v>210</v>
      </c>
      <c r="D11" s="18" t="str">
        <f t="shared" si="0"/>
        <v>0</v>
      </c>
      <c r="G11" s="1" t="s">
        <v>41</v>
      </c>
      <c r="H11" s="19">
        <f>H8+(H9*1.5)</f>
        <v>693.125</v>
      </c>
    </row>
    <row r="12" spans="2:18" x14ac:dyDescent="0.25">
      <c r="B12" s="3">
        <v>8</v>
      </c>
      <c r="C12" s="18">
        <v>350</v>
      </c>
      <c r="D12" s="18" t="str">
        <f t="shared" si="0"/>
        <v>0</v>
      </c>
    </row>
    <row r="13" spans="2:18" x14ac:dyDescent="0.25">
      <c r="B13" s="3">
        <v>9</v>
      </c>
      <c r="C13" s="18">
        <v>200</v>
      </c>
      <c r="D13" s="18" t="str">
        <f t="shared" si="0"/>
        <v>0</v>
      </c>
    </row>
    <row r="14" spans="2:18" x14ac:dyDescent="0.25">
      <c r="B14" s="3">
        <v>10</v>
      </c>
      <c r="C14" s="18">
        <v>520</v>
      </c>
      <c r="D14" s="18" t="str">
        <f t="shared" si="0"/>
        <v>0</v>
      </c>
    </row>
    <row r="15" spans="2:18" x14ac:dyDescent="0.25">
      <c r="B15" s="3">
        <v>11</v>
      </c>
      <c r="C15" s="18">
        <v>240</v>
      </c>
      <c r="D15" s="18" t="str">
        <f t="shared" si="0"/>
        <v>0</v>
      </c>
    </row>
    <row r="16" spans="2:18" x14ac:dyDescent="0.25">
      <c r="B16" s="3">
        <v>12</v>
      </c>
      <c r="C16" s="18">
        <v>280</v>
      </c>
      <c r="D16" s="18" t="str">
        <f t="shared" si="0"/>
        <v>0</v>
      </c>
    </row>
    <row r="17" spans="2:4" x14ac:dyDescent="0.25">
      <c r="B17" s="3">
        <v>13</v>
      </c>
      <c r="C17" s="18">
        <v>280</v>
      </c>
      <c r="D17" s="18" t="str">
        <f t="shared" si="0"/>
        <v>0</v>
      </c>
    </row>
    <row r="18" spans="2:4" x14ac:dyDescent="0.25">
      <c r="B18" s="3">
        <v>14</v>
      </c>
      <c r="C18" s="18">
        <v>410</v>
      </c>
      <c r="D18" s="18" t="str">
        <f t="shared" si="0"/>
        <v>0</v>
      </c>
    </row>
    <row r="19" spans="2:4" x14ac:dyDescent="0.25">
      <c r="B19" s="3">
        <v>15</v>
      </c>
      <c r="C19" s="18">
        <v>330</v>
      </c>
      <c r="D19" s="18" t="str">
        <f t="shared" si="0"/>
        <v>0</v>
      </c>
    </row>
    <row r="20" spans="2:4" x14ac:dyDescent="0.25">
      <c r="B20" s="3">
        <v>16</v>
      </c>
      <c r="C20" s="18">
        <v>260</v>
      </c>
      <c r="D20" s="18" t="str">
        <f t="shared" si="0"/>
        <v>0</v>
      </c>
    </row>
    <row r="21" spans="2:4" x14ac:dyDescent="0.25">
      <c r="B21" s="3">
        <v>17</v>
      </c>
      <c r="C21" s="18">
        <v>950</v>
      </c>
      <c r="D21" s="18">
        <f t="shared" si="0"/>
        <v>950</v>
      </c>
    </row>
    <row r="22" spans="2:4" x14ac:dyDescent="0.25">
      <c r="B22" s="3">
        <v>18</v>
      </c>
      <c r="C22" s="18">
        <v>270</v>
      </c>
      <c r="D22" s="18" t="str">
        <f t="shared" si="0"/>
        <v>0</v>
      </c>
    </row>
    <row r="23" spans="2:4" x14ac:dyDescent="0.25">
      <c r="B23" s="3">
        <v>19</v>
      </c>
      <c r="C23" s="18">
        <v>340</v>
      </c>
      <c r="D23" s="18" t="str">
        <f t="shared" si="0"/>
        <v>0</v>
      </c>
    </row>
    <row r="24" spans="2:4" x14ac:dyDescent="0.25">
      <c r="B24" s="3">
        <v>20</v>
      </c>
      <c r="C24" s="18">
        <v>1500</v>
      </c>
      <c r="D24" s="18">
        <f t="shared" si="0"/>
        <v>1500</v>
      </c>
    </row>
  </sheetData>
  <mergeCells count="1">
    <mergeCell ref="B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083EA-A2D3-4FD0-8F75-D18D909AE5E2}">
  <dimension ref="B2:M22"/>
  <sheetViews>
    <sheetView tabSelected="1" workbookViewId="0">
      <selection activeCell="D5" sqref="D5"/>
    </sheetView>
  </sheetViews>
  <sheetFormatPr defaultRowHeight="15" x14ac:dyDescent="0.25"/>
  <cols>
    <col min="2" max="2" width="7.5703125" bestFit="1" customWidth="1"/>
    <col min="3" max="3" width="19" bestFit="1" customWidth="1"/>
    <col min="6" max="6" width="11.28515625" bestFit="1" customWidth="1"/>
    <col min="7" max="7" width="6" bestFit="1" customWidth="1"/>
  </cols>
  <sheetData>
    <row r="2" spans="2:13" x14ac:dyDescent="0.25">
      <c r="B2" s="21" t="s">
        <v>43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4" spans="2:13" x14ac:dyDescent="0.25">
      <c r="B4" s="17" t="s">
        <v>44</v>
      </c>
      <c r="C4" s="2" t="s">
        <v>45</v>
      </c>
    </row>
    <row r="5" spans="2:13" x14ac:dyDescent="0.25">
      <c r="B5" s="37" t="s">
        <v>46</v>
      </c>
      <c r="C5" s="7">
        <v>35</v>
      </c>
      <c r="F5" s="1"/>
      <c r="G5" s="17" t="s">
        <v>54</v>
      </c>
    </row>
    <row r="6" spans="2:13" x14ac:dyDescent="0.25">
      <c r="B6" s="37" t="s">
        <v>47</v>
      </c>
      <c r="C6" s="7">
        <v>38</v>
      </c>
      <c r="F6" s="1" t="s">
        <v>29</v>
      </c>
      <c r="G6" s="38">
        <f>_xlfn.QUARTILE.INC($C$5:$C$12,1)</f>
        <v>38.75</v>
      </c>
    </row>
    <row r="7" spans="2:13" x14ac:dyDescent="0.25">
      <c r="B7" s="37" t="s">
        <v>48</v>
      </c>
      <c r="C7" s="7">
        <v>40</v>
      </c>
      <c r="F7" s="1" t="s">
        <v>30</v>
      </c>
      <c r="G7" s="38">
        <f>_xlfn.QUARTILE.INC($C$5:$C$12,2)</f>
        <v>40.5</v>
      </c>
    </row>
    <row r="8" spans="2:13" x14ac:dyDescent="0.25">
      <c r="B8" s="37" t="s">
        <v>49</v>
      </c>
      <c r="C8" s="7">
        <v>42</v>
      </c>
      <c r="F8" s="1" t="s">
        <v>31</v>
      </c>
      <c r="G8" s="38">
        <f>_xlfn.QUARTILE.INC($C$5:$C$12,3)</f>
        <v>42.75</v>
      </c>
    </row>
    <row r="9" spans="2:13" x14ac:dyDescent="0.25">
      <c r="B9" s="37" t="s">
        <v>50</v>
      </c>
      <c r="C9" s="7">
        <v>39</v>
      </c>
      <c r="F9" s="10" t="s">
        <v>35</v>
      </c>
      <c r="G9" s="39">
        <f>G8-G6</f>
        <v>4</v>
      </c>
    </row>
    <row r="10" spans="2:13" x14ac:dyDescent="0.25">
      <c r="B10" s="37" t="s">
        <v>51</v>
      </c>
      <c r="C10" s="7">
        <v>41</v>
      </c>
      <c r="F10" s="1" t="s">
        <v>40</v>
      </c>
      <c r="G10" s="38">
        <f>G6-(G9*1.5)</f>
        <v>32.75</v>
      </c>
    </row>
    <row r="11" spans="2:13" x14ac:dyDescent="0.25">
      <c r="B11" s="37" t="s">
        <v>52</v>
      </c>
      <c r="C11" s="7">
        <v>45</v>
      </c>
      <c r="F11" s="1" t="s">
        <v>41</v>
      </c>
      <c r="G11" s="38">
        <f>G8+(G9*1.5)</f>
        <v>48.75</v>
      </c>
    </row>
    <row r="12" spans="2:13" x14ac:dyDescent="0.25">
      <c r="B12" s="37" t="s">
        <v>53</v>
      </c>
      <c r="C12" s="7">
        <v>65</v>
      </c>
    </row>
    <row r="14" spans="2:13" x14ac:dyDescent="0.25">
      <c r="B14" s="33"/>
      <c r="C14" s="35"/>
    </row>
    <row r="15" spans="2:13" x14ac:dyDescent="0.25">
      <c r="B15" s="36"/>
      <c r="C15" s="34"/>
    </row>
    <row r="16" spans="2:13" x14ac:dyDescent="0.25">
      <c r="B16" s="36"/>
      <c r="C16" s="34"/>
    </row>
    <row r="17" spans="2:3" x14ac:dyDescent="0.25">
      <c r="B17" s="36"/>
      <c r="C17" s="34"/>
    </row>
    <row r="18" spans="2:3" x14ac:dyDescent="0.25">
      <c r="B18" s="36"/>
      <c r="C18" s="34"/>
    </row>
    <row r="19" spans="2:3" x14ac:dyDescent="0.25">
      <c r="B19" s="36"/>
      <c r="C19" s="34"/>
    </row>
    <row r="20" spans="2:3" x14ac:dyDescent="0.25">
      <c r="B20" s="36"/>
      <c r="C20" s="34"/>
    </row>
    <row r="21" spans="2:3" x14ac:dyDescent="0.25">
      <c r="B21" s="36"/>
      <c r="C21" s="34"/>
    </row>
    <row r="22" spans="2:3" x14ac:dyDescent="0.25">
      <c r="B22" s="36"/>
      <c r="C22" s="34"/>
    </row>
  </sheetData>
  <mergeCells count="1">
    <mergeCell ref="B2: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2026-08-21T02:35:14Z</dcterms:modified>
</cp:coreProperties>
</file>