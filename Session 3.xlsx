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18DB66B5-D086-4640-A7B7-004CFF5742FE}" xr6:coauthVersionLast="47" xr6:coauthVersionMax="47" xr10:uidLastSave="{00000000-0000-0000-0000-000000000000}"/>
  <bookViews>
    <workbookView xWindow="-120" yWindow="-120" windowWidth="20730" windowHeight="11160" activeTab="3" xr2:uid="{00000000-000D-0000-FFFF-FFFF00000000}"/>
  </bookViews>
  <sheets>
    <sheet name="1" sheetId="1" r:id="rId1"/>
    <sheet name="2" sheetId="2" r:id="rId2"/>
    <sheet name="3" sheetId="3" r:id="rId3"/>
    <sheet name="4" sheetId="4" r:id="rId4"/>
  </sheets>
  <definedNames>
    <definedName name="_xlnm._FilterDatabase" localSheetId="1" hidden="1">'2'!$B$5:$B$14</definedName>
    <definedName name="_xlnm._FilterDatabase" localSheetId="3" hidden="1">'4'!$B$7:$B$14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4" l="1"/>
  <c r="F7" i="4"/>
  <c r="F10" i="3"/>
  <c r="C7" i="3"/>
  <c r="C8" i="3"/>
  <c r="C9" i="3"/>
  <c r="C10" i="3"/>
  <c r="C11" i="3"/>
  <c r="C12" i="3"/>
  <c r="C13" i="3"/>
  <c r="C14" i="3"/>
  <c r="C15" i="3"/>
  <c r="C16" i="3"/>
  <c r="C17" i="3"/>
  <c r="C6" i="3"/>
  <c r="E10" i="2"/>
  <c r="F6" i="1"/>
</calcChain>
</file>

<file path=xl/sharedStrings.xml><?xml version="1.0" encoding="utf-8"?>
<sst xmlns="http://schemas.openxmlformats.org/spreadsheetml/2006/main" count="48" uniqueCount="38">
  <si>
    <t>Step 1: Enter the data</t>
  </si>
  <si>
    <t>Day</t>
  </si>
  <si>
    <t>Steps</t>
  </si>
  <si>
    <t>Monday</t>
  </si>
  <si>
    <t>Tuesday</t>
  </si>
  <si>
    <t>Wednesday</t>
  </si>
  <si>
    <t>Thursday</t>
  </si>
  <si>
    <t>Friday</t>
  </si>
  <si>
    <t>Saturday</t>
  </si>
  <si>
    <t>Sunday</t>
  </si>
  <si>
    <t>Step 2: Calculate the mean</t>
  </si>
  <si>
    <t>Result:</t>
  </si>
  <si>
    <t>Mean = 7,300 steps</t>
  </si>
  <si>
    <r>
      <t xml:space="preserve">The mean (average) number of daily steps is calculated using the Excel </t>
    </r>
    <r>
      <rPr>
        <sz val="10"/>
        <color theme="1"/>
        <rFont val="Arial Unicode MS"/>
      </rPr>
      <t>AVERAGE()</t>
    </r>
    <r>
      <rPr>
        <sz val="11"/>
        <color theme="1"/>
        <rFont val="Calibri"/>
        <family val="2"/>
        <scheme val="minor"/>
      </rPr>
      <t xml:space="preserve"> function. For the given 7 days, the average is </t>
    </r>
    <r>
      <rPr>
        <b/>
        <sz val="11"/>
        <color theme="1"/>
        <rFont val="Calibri"/>
        <family val="2"/>
        <scheme val="minor"/>
      </rPr>
      <t>7,300 steps</t>
    </r>
    <r>
      <rPr>
        <sz val="11"/>
        <color theme="1"/>
        <rFont val="Calibri"/>
        <family val="2"/>
        <scheme val="minor"/>
      </rPr>
      <t>.</t>
    </r>
  </si>
  <si>
    <t>Mean</t>
  </si>
  <si>
    <t>For calculation use function [Average(select steps column)] then press Enter</t>
  </si>
  <si>
    <t>Given this list of food delivery times in minutes for your last 9 Zomato/Swiggy orders: [32, 28, 29, 45, 30, 31, 60, 30, 29], write a function to find the median delivery time.</t>
  </si>
  <si>
    <t>Minutes</t>
  </si>
  <si>
    <t>To find the median of any data we have use the function i.e. median(select the data) but before applying make sure the data is arranged in an ascending order</t>
  </si>
  <si>
    <t>Median</t>
  </si>
  <si>
    <t>RESULT:</t>
  </si>
  <si>
    <t>Imagine you tracked the genres of 12 YouTube videos you watched this week: ['Music', 'Vlog', 'Music', 'Tech', 'Music', 'Vlog', 'Tech', 'Music', 'Comedy', 'Vlog', 'Music', 'Comedy']. Write code to determine the mode (most watched genre).</t>
  </si>
  <si>
    <t>Music</t>
  </si>
  <si>
    <t>Comedy</t>
  </si>
  <si>
    <t>Vlog</t>
  </si>
  <si>
    <t>Tech</t>
  </si>
  <si>
    <t>Count</t>
  </si>
  <si>
    <t>Data</t>
  </si>
  <si>
    <t xml:space="preserve">Mode </t>
  </si>
  <si>
    <t xml:space="preserve"> </t>
  </si>
  <si>
    <t>As mode is 5 so the mode is "Music" which is occuring repetatively 5 times</t>
  </si>
  <si>
    <t>For finding mode of text data firstly find the number of times that data item occur using countif function then use mode function to find the most frequently occurred or repetative item</t>
  </si>
  <si>
    <t>Take this array of daily UPI transaction amounts (in ₹): [100, 120, 105, 110, 5000, 115, 108]. Calculate both the mean and the median, then explain in 2-3 lines which is a better measure of your 'typical' transaction and why.&lt;br&gt;&lt;br&gt;&lt;em&gt;&lt;strong&gt;Hint:&lt;/strong&gt; Consider the effect of the ₹5000 value.&lt;/em&gt;</t>
  </si>
  <si>
    <t>Amount</t>
  </si>
  <si>
    <t>MEAN</t>
  </si>
  <si>
    <t>MEDIAN</t>
  </si>
  <si>
    <t>Which is better?</t>
  </si>
  <si>
    <r>
      <t>Median is a better measure of the typical transaction</t>
    </r>
    <r>
      <rPr>
        <sz val="11"/>
        <color theme="1"/>
        <rFont val="Calibri"/>
        <family val="2"/>
        <scheme val="minor"/>
      </rPr>
      <t xml:space="preserve"> because the ₹5,000 transaction is an extreme outlier that greatly increases the mean to ₹808.29. The median of ₹110 better represents the normal UPI transaction amount.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</si>
</sst>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quot;₹&quot;\ #,##0"/>
  </numFmts>
  <fonts count="6">
    <font>
      <sz val="11"/>
      <color theme="1"/>
      <name val="Calibri"/>
      <family val="2"/>
      <scheme val="minor"/>
    </font>
    <font>
      <sz val="11"/>
      <color theme="1"/>
      <name val="Calibri"/>
      <family val="2"/>
      <scheme val="minor"/>
    </font>
    <font>
      <b/>
      <sz val="11"/>
      <color theme="1"/>
      <name val="Calibri"/>
      <family val="2"/>
      <scheme val="minor"/>
    </font>
    <font>
      <b/>
      <sz val="13.5"/>
      <color theme="1"/>
      <name val="Calibri"/>
      <family val="2"/>
      <scheme val="minor"/>
    </font>
    <font>
      <sz val="10"/>
      <color theme="1"/>
      <name val="Arial Unicode MS"/>
    </font>
    <font>
      <b/>
      <sz val="9"/>
      <color rgb="FF878A99"/>
      <name val="Segoe UI"/>
      <family val="2"/>
    </font>
  </fonts>
  <fills count="2">
    <fill>
      <patternFill patternType="none"/>
    </fill>
    <fill>
      <patternFill patternType="gray125"/>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74">
    <xf numFmtId="0" fontId="0" fillId="0" borderId="0" xfId="0"/>
    <xf numFmtId="0" fontId="3" fillId="0" borderId="0" xfId="0" applyFont="1" applyAlignment="1">
      <alignment vertical="center"/>
    </xf>
    <xf numFmtId="0" fontId="2" fillId="0" borderId="0" xfId="0" applyFont="1"/>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0" fontId="3" fillId="0" borderId="0" xfId="0" applyFont="1" applyAlignment="1">
      <alignment vertical="center"/>
    </xf>
    <xf numFmtId="0" fontId="2" fillId="0" borderId="13" xfId="0" applyFont="1" applyBorder="1"/>
    <xf numFmtId="0" fontId="0" fillId="0" borderId="1" xfId="0" applyBorder="1"/>
    <xf numFmtId="0" fontId="0" fillId="0" borderId="15" xfId="0" applyBorder="1"/>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0" fillId="0" borderId="13"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4" xfId="0" applyBorder="1" applyAlignment="1">
      <alignment horizontal="center" vertical="center" wrapText="1"/>
    </xf>
    <xf numFmtId="0" fontId="0" fillId="0" borderId="0" xfId="0" applyBorder="1" applyAlignment="1">
      <alignment horizontal="center" vertical="center" wrapText="1"/>
    </xf>
    <xf numFmtId="0" fontId="0" fillId="0" borderId="21" xfId="0" applyBorder="1" applyAlignment="1">
      <alignment horizontal="center" vertical="center" wrapText="1"/>
    </xf>
    <xf numFmtId="0" fontId="0" fillId="0" borderId="13"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2" fillId="0" borderId="22" xfId="0" applyFont="1" applyBorder="1"/>
    <xf numFmtId="0" fontId="2" fillId="0" borderId="6" xfId="0" applyFont="1" applyBorder="1"/>
    <xf numFmtId="0" fontId="5" fillId="0" borderId="0"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0" fillId="0" borderId="11" xfId="0" applyBorder="1"/>
    <xf numFmtId="0" fontId="0" fillId="0" borderId="12" xfId="0" applyBorder="1"/>
    <xf numFmtId="0" fontId="0" fillId="0" borderId="10" xfId="0" applyBorder="1"/>
    <xf numFmtId="0" fontId="2"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49" fontId="2" fillId="0" borderId="1" xfId="0" quotePrefix="1" applyNumberFormat="1"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22" xfId="0" applyBorder="1"/>
    <xf numFmtId="0" fontId="0" fillId="0" borderId="23" xfId="0" applyBorder="1"/>
    <xf numFmtId="0" fontId="0" fillId="0" borderId="6" xfId="0" applyBorder="1"/>
    <xf numFmtId="0" fontId="5" fillId="0" borderId="14" xfId="0" applyFont="1" applyBorder="1" applyAlignment="1">
      <alignment horizontal="center" vertical="center" wrapText="1"/>
    </xf>
    <xf numFmtId="0" fontId="5" fillId="0" borderId="21" xfId="0" applyFont="1" applyBorder="1" applyAlignment="1">
      <alignment horizontal="center" vertical="center" wrapText="1"/>
    </xf>
    <xf numFmtId="171" fontId="0" fillId="0" borderId="10" xfId="0" applyNumberFormat="1" applyBorder="1" applyAlignment="1">
      <alignment horizontal="center"/>
    </xf>
    <xf numFmtId="171" fontId="0" fillId="0" borderId="11" xfId="0" applyNumberFormat="1" applyBorder="1" applyAlignment="1">
      <alignment horizontal="center"/>
    </xf>
    <xf numFmtId="171" fontId="0" fillId="0" borderId="12" xfId="0" applyNumberFormat="1" applyBorder="1" applyAlignment="1">
      <alignment horizontal="center"/>
    </xf>
    <xf numFmtId="0" fontId="2" fillId="0" borderId="1" xfId="0" applyFont="1" applyBorder="1" applyAlignment="1">
      <alignment horizontal="center"/>
    </xf>
    <xf numFmtId="0" fontId="0" fillId="0" borderId="2" xfId="0" applyBorder="1"/>
    <xf numFmtId="171" fontId="0" fillId="0" borderId="3" xfId="0" applyNumberFormat="1" applyBorder="1"/>
    <xf numFmtId="0" fontId="0" fillId="0" borderId="4" xfId="0" applyBorder="1"/>
    <xf numFmtId="171" fontId="0" fillId="0" borderId="5" xfId="0" applyNumberFormat="1" applyBorder="1"/>
    <xf numFmtId="0" fontId="3" fillId="0" borderId="16" xfId="0" applyFont="1" applyBorder="1" applyAlignment="1">
      <alignment vertical="center"/>
    </xf>
    <xf numFmtId="0" fontId="3" fillId="0" borderId="18" xfId="0" applyFont="1" applyBorder="1" applyAlignment="1">
      <alignment vertical="center"/>
    </xf>
    <xf numFmtId="0" fontId="0" fillId="0" borderId="16" xfId="0" applyFont="1" applyBorder="1" applyAlignment="1">
      <alignment horizontal="left" vertical="center" wrapText="1"/>
    </xf>
    <xf numFmtId="0" fontId="0" fillId="0" borderId="17" xfId="0" applyFont="1" applyBorder="1" applyAlignment="1">
      <alignment horizontal="left" vertical="center" wrapText="1"/>
    </xf>
    <xf numFmtId="0" fontId="0" fillId="0" borderId="18" xfId="0" applyFont="1" applyBorder="1" applyAlignment="1">
      <alignment horizontal="left" vertical="center" wrapText="1"/>
    </xf>
    <xf numFmtId="0" fontId="0" fillId="0" borderId="14" xfId="0" applyFont="1" applyBorder="1" applyAlignment="1">
      <alignment horizontal="left" vertical="center" wrapText="1"/>
    </xf>
    <xf numFmtId="0" fontId="0" fillId="0" borderId="0" xfId="0" applyFont="1" applyBorder="1" applyAlignment="1">
      <alignment horizontal="left" vertical="center" wrapText="1"/>
    </xf>
    <xf numFmtId="0" fontId="0" fillId="0" borderId="21" xfId="0" applyFont="1" applyBorder="1" applyAlignment="1">
      <alignment horizontal="left" vertical="center" wrapText="1"/>
    </xf>
    <xf numFmtId="0" fontId="0" fillId="0" borderId="13" xfId="0" applyFont="1" applyBorder="1" applyAlignment="1">
      <alignment horizontal="left" vertical="center" wrapText="1"/>
    </xf>
    <xf numFmtId="0" fontId="0" fillId="0" borderId="19" xfId="0" applyFont="1" applyBorder="1" applyAlignment="1">
      <alignment horizontal="left" vertical="center" wrapText="1"/>
    </xf>
    <xf numFmtId="0" fontId="0" fillId="0" borderId="2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2"/>
  <sheetViews>
    <sheetView workbookViewId="0">
      <selection activeCell="Q8" sqref="Q8"/>
    </sheetView>
  </sheetViews>
  <sheetFormatPr defaultRowHeight="15"/>
  <cols>
    <col min="2" max="2" width="14.140625" customWidth="1"/>
    <col min="3" max="3" width="11" customWidth="1"/>
  </cols>
  <sheetData>
    <row r="2" spans="2:14" ht="18">
      <c r="B2" s="11" t="s">
        <v>0</v>
      </c>
      <c r="C2" s="11"/>
      <c r="E2" s="11" t="s">
        <v>10</v>
      </c>
      <c r="F2" s="11"/>
      <c r="G2" s="11"/>
      <c r="H2" s="11"/>
      <c r="K2" s="1" t="s">
        <v>11</v>
      </c>
    </row>
    <row r="3" spans="2:14" ht="15.75" thickBot="1"/>
    <row r="4" spans="2:14" ht="15.75" customHeight="1" thickBot="1">
      <c r="B4" s="3" t="s">
        <v>1</v>
      </c>
      <c r="C4" s="4" t="s">
        <v>2</v>
      </c>
      <c r="E4" s="15" t="s">
        <v>15</v>
      </c>
      <c r="F4" s="16"/>
      <c r="G4" s="16"/>
      <c r="H4" s="16"/>
      <c r="I4" s="17"/>
      <c r="K4" s="30" t="s">
        <v>12</v>
      </c>
      <c r="L4" s="31"/>
    </row>
    <row r="5" spans="2:14" ht="15.75" thickBot="1">
      <c r="B5" s="5" t="s">
        <v>3</v>
      </c>
      <c r="C5" s="6">
        <v>6500</v>
      </c>
      <c r="E5" s="18"/>
      <c r="F5" s="19"/>
      <c r="G5" s="19"/>
      <c r="H5" s="19"/>
      <c r="I5" s="20"/>
    </row>
    <row r="6" spans="2:14" ht="15.75" thickBot="1">
      <c r="B6" s="7" t="s">
        <v>4</v>
      </c>
      <c r="C6" s="8">
        <v>7200</v>
      </c>
      <c r="E6" s="12" t="s">
        <v>14</v>
      </c>
      <c r="F6" s="14">
        <f>AVERAGE(C5:C11)</f>
        <v>7300</v>
      </c>
    </row>
    <row r="7" spans="2:14">
      <c r="B7" s="7" t="s">
        <v>5</v>
      </c>
      <c r="C7" s="8">
        <v>8100</v>
      </c>
    </row>
    <row r="8" spans="2:14" ht="15.75" thickBot="1">
      <c r="B8" s="7" t="s">
        <v>6</v>
      </c>
      <c r="C8" s="8">
        <v>5900</v>
      </c>
    </row>
    <row r="9" spans="2:14">
      <c r="B9" s="7" t="s">
        <v>7</v>
      </c>
      <c r="C9" s="8">
        <v>7600</v>
      </c>
      <c r="H9" s="21" t="s">
        <v>13</v>
      </c>
      <c r="I9" s="22"/>
      <c r="J9" s="22"/>
      <c r="K9" s="22"/>
      <c r="L9" s="22"/>
      <c r="M9" s="22"/>
      <c r="N9" s="23"/>
    </row>
    <row r="10" spans="2:14">
      <c r="B10" s="7" t="s">
        <v>8</v>
      </c>
      <c r="C10" s="8">
        <v>9000</v>
      </c>
      <c r="H10" s="24"/>
      <c r="I10" s="25"/>
      <c r="J10" s="25"/>
      <c r="K10" s="25"/>
      <c r="L10" s="25"/>
      <c r="M10" s="25"/>
      <c r="N10" s="26"/>
    </row>
    <row r="11" spans="2:14" ht="15.75" thickBot="1">
      <c r="B11" s="9" t="s">
        <v>9</v>
      </c>
      <c r="C11" s="10">
        <v>6800</v>
      </c>
      <c r="H11" s="24"/>
      <c r="I11" s="25"/>
      <c r="J11" s="25"/>
      <c r="K11" s="25"/>
      <c r="L11" s="25"/>
      <c r="M11" s="25"/>
      <c r="N11" s="26"/>
    </row>
    <row r="12" spans="2:14" ht="15.75" thickBot="1">
      <c r="H12" s="27"/>
      <c r="I12" s="28"/>
      <c r="J12" s="28"/>
      <c r="K12" s="28"/>
      <c r="L12" s="28"/>
      <c r="M12" s="28"/>
      <c r="N12" s="29"/>
    </row>
  </sheetData>
  <mergeCells count="5">
    <mergeCell ref="B2:C2"/>
    <mergeCell ref="E4:I5"/>
    <mergeCell ref="H9:N12"/>
    <mergeCell ref="K4:L4"/>
    <mergeCell ref="E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627EF-0935-4C43-91E6-881537C29061}">
  <dimension ref="B1:L14"/>
  <sheetViews>
    <sheetView workbookViewId="0">
      <selection activeCell="G14" sqref="G14"/>
    </sheetView>
  </sheetViews>
  <sheetFormatPr defaultRowHeight="15"/>
  <sheetData>
    <row r="1" spans="2:12" ht="15.75" thickBot="1"/>
    <row r="2" spans="2:12">
      <c r="B2" s="33" t="s">
        <v>16</v>
      </c>
      <c r="C2" s="34"/>
      <c r="D2" s="34"/>
      <c r="E2" s="34"/>
      <c r="F2" s="34"/>
      <c r="G2" s="34"/>
      <c r="H2" s="34"/>
      <c r="I2" s="34"/>
      <c r="J2" s="35"/>
    </row>
    <row r="3" spans="2:12" ht="15.75" thickBot="1">
      <c r="B3" s="36"/>
      <c r="C3" s="37"/>
      <c r="D3" s="37"/>
      <c r="E3" s="37"/>
      <c r="F3" s="37"/>
      <c r="G3" s="37"/>
      <c r="H3" s="37"/>
      <c r="I3" s="37"/>
      <c r="J3" s="38"/>
    </row>
    <row r="4" spans="2:12" ht="15.75" thickBot="1"/>
    <row r="5" spans="2:12" ht="15.75" thickBot="1">
      <c r="B5" s="13" t="s">
        <v>17</v>
      </c>
      <c r="D5" s="15" t="s">
        <v>18</v>
      </c>
      <c r="E5" s="16"/>
      <c r="F5" s="16"/>
      <c r="G5" s="16"/>
      <c r="H5" s="16"/>
      <c r="I5" s="16"/>
      <c r="J5" s="16"/>
      <c r="K5" s="16"/>
      <c r="L5" s="17"/>
    </row>
    <row r="6" spans="2:12" ht="15.75" thickBot="1">
      <c r="B6" s="41">
        <v>28</v>
      </c>
      <c r="D6" s="18"/>
      <c r="E6" s="19"/>
      <c r="F6" s="19"/>
      <c r="G6" s="19"/>
      <c r="H6" s="19"/>
      <c r="I6" s="19"/>
      <c r="J6" s="19"/>
      <c r="K6" s="19"/>
      <c r="L6" s="20"/>
    </row>
    <row r="7" spans="2:12">
      <c r="B7" s="39">
        <v>29</v>
      </c>
    </row>
    <row r="8" spans="2:12">
      <c r="B8" s="39">
        <v>29</v>
      </c>
    </row>
    <row r="9" spans="2:12" ht="15.75" thickBot="1">
      <c r="B9" s="39">
        <v>30</v>
      </c>
      <c r="D9" s="2" t="s">
        <v>20</v>
      </c>
    </row>
    <row r="10" spans="2:12" ht="15.75" thickBot="1">
      <c r="B10" s="39">
        <v>30</v>
      </c>
      <c r="D10" s="13" t="s">
        <v>19</v>
      </c>
      <c r="E10" s="13">
        <f>MEDIAN(B6:B14)</f>
        <v>30</v>
      </c>
    </row>
    <row r="11" spans="2:12">
      <c r="B11" s="39">
        <v>31</v>
      </c>
    </row>
    <row r="12" spans="2:12">
      <c r="B12" s="39">
        <v>32</v>
      </c>
    </row>
    <row r="13" spans="2:12">
      <c r="B13" s="39">
        <v>45</v>
      </c>
    </row>
    <row r="14" spans="2:12" ht="15.75" thickBot="1">
      <c r="B14" s="40">
        <v>60</v>
      </c>
    </row>
  </sheetData>
  <mergeCells count="2">
    <mergeCell ref="B2:J3"/>
    <mergeCell ref="D5:L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F084E-6435-4CC2-92C6-84C08922F065}">
  <dimension ref="B1:N17"/>
  <sheetViews>
    <sheetView workbookViewId="0">
      <selection activeCell="Q6" sqref="Q6"/>
    </sheetView>
  </sheetViews>
  <sheetFormatPr defaultRowHeight="15"/>
  <sheetData>
    <row r="1" spans="2:14" ht="15.75" thickBot="1"/>
    <row r="2" spans="2:14">
      <c r="B2" s="33" t="s">
        <v>21</v>
      </c>
      <c r="C2" s="34"/>
      <c r="D2" s="34"/>
      <c r="E2" s="34"/>
      <c r="F2" s="34"/>
      <c r="G2" s="34"/>
      <c r="H2" s="34"/>
      <c r="I2" s="34"/>
      <c r="J2" s="34"/>
      <c r="K2" s="34"/>
      <c r="L2" s="34"/>
      <c r="M2" s="35"/>
    </row>
    <row r="3" spans="2:14" ht="15.75" thickBot="1">
      <c r="B3" s="36"/>
      <c r="C3" s="37"/>
      <c r="D3" s="37"/>
      <c r="E3" s="37"/>
      <c r="F3" s="37"/>
      <c r="G3" s="37"/>
      <c r="H3" s="37"/>
      <c r="I3" s="37"/>
      <c r="J3" s="37"/>
      <c r="K3" s="37"/>
      <c r="L3" s="37"/>
      <c r="M3" s="38"/>
    </row>
    <row r="4" spans="2:14" ht="15.75" thickBot="1"/>
    <row r="5" spans="2:14" ht="15.75" thickBot="1">
      <c r="B5" s="46" t="s">
        <v>27</v>
      </c>
      <c r="C5" s="42" t="s">
        <v>26</v>
      </c>
      <c r="E5" s="15" t="s">
        <v>31</v>
      </c>
      <c r="F5" s="16"/>
      <c r="G5" s="16"/>
      <c r="H5" s="16"/>
      <c r="I5" s="16"/>
      <c r="J5" s="16"/>
      <c r="K5" s="16"/>
      <c r="L5" s="16"/>
      <c r="M5" s="16"/>
      <c r="N5" s="17"/>
    </row>
    <row r="6" spans="2:14" ht="15.75" thickBot="1">
      <c r="B6" s="47" t="s">
        <v>22</v>
      </c>
      <c r="C6" s="43">
        <f>COUNTIF($B$6:$B$17,B6)</f>
        <v>5</v>
      </c>
      <c r="E6" s="18"/>
      <c r="F6" s="19"/>
      <c r="G6" s="19"/>
      <c r="H6" s="19"/>
      <c r="I6" s="19"/>
      <c r="J6" s="19"/>
      <c r="K6" s="19"/>
      <c r="L6" s="19"/>
      <c r="M6" s="19"/>
      <c r="N6" s="20"/>
    </row>
    <row r="7" spans="2:14">
      <c r="B7" s="48" t="s">
        <v>24</v>
      </c>
      <c r="C7" s="44">
        <f t="shared" ref="C7:C17" si="0">COUNTIF($B$6:$B$17,B7)</f>
        <v>3</v>
      </c>
    </row>
    <row r="8" spans="2:14">
      <c r="B8" s="48" t="s">
        <v>22</v>
      </c>
      <c r="C8" s="44">
        <f t="shared" si="0"/>
        <v>5</v>
      </c>
    </row>
    <row r="9" spans="2:14" ht="15.75" thickBot="1">
      <c r="B9" s="48" t="s">
        <v>25</v>
      </c>
      <c r="C9" s="44">
        <f t="shared" si="0"/>
        <v>2</v>
      </c>
      <c r="E9" s="2" t="s">
        <v>11</v>
      </c>
    </row>
    <row r="10" spans="2:14" ht="15.75" thickBot="1">
      <c r="B10" s="48" t="s">
        <v>22</v>
      </c>
      <c r="C10" s="44">
        <f t="shared" si="0"/>
        <v>5</v>
      </c>
      <c r="E10" s="13" t="s">
        <v>28</v>
      </c>
      <c r="F10" s="13">
        <f>MODE(C6:C17)</f>
        <v>5</v>
      </c>
    </row>
    <row r="11" spans="2:14" ht="15.75" thickBot="1">
      <c r="B11" s="48" t="s">
        <v>24</v>
      </c>
      <c r="C11" s="44">
        <f t="shared" si="0"/>
        <v>3</v>
      </c>
      <c r="E11" t="s">
        <v>29</v>
      </c>
    </row>
    <row r="12" spans="2:14" ht="15.75" thickBot="1">
      <c r="B12" s="48" t="s">
        <v>25</v>
      </c>
      <c r="C12" s="44">
        <f t="shared" si="0"/>
        <v>2</v>
      </c>
      <c r="E12" s="50" t="s">
        <v>30</v>
      </c>
      <c r="F12" s="51"/>
      <c r="G12" s="51"/>
      <c r="H12" s="51"/>
      <c r="I12" s="51"/>
      <c r="J12" s="51"/>
      <c r="K12" s="51"/>
      <c r="L12" s="52"/>
    </row>
    <row r="13" spans="2:14">
      <c r="B13" s="48" t="s">
        <v>22</v>
      </c>
      <c r="C13" s="44">
        <f t="shared" si="0"/>
        <v>5</v>
      </c>
    </row>
    <row r="14" spans="2:14">
      <c r="B14" s="48" t="s">
        <v>23</v>
      </c>
      <c r="C14" s="44">
        <f t="shared" si="0"/>
        <v>2</v>
      </c>
    </row>
    <row r="15" spans="2:14">
      <c r="B15" s="48" t="s">
        <v>24</v>
      </c>
      <c r="C15" s="44">
        <f t="shared" si="0"/>
        <v>3</v>
      </c>
    </row>
    <row r="16" spans="2:14">
      <c r="B16" s="48" t="s">
        <v>22</v>
      </c>
      <c r="C16" s="44">
        <f t="shared" si="0"/>
        <v>5</v>
      </c>
    </row>
    <row r="17" spans="2:3" ht="15.75" thickBot="1">
      <c r="B17" s="49" t="s">
        <v>23</v>
      </c>
      <c r="C17" s="45">
        <f t="shared" si="0"/>
        <v>2</v>
      </c>
    </row>
  </sheetData>
  <mergeCells count="3">
    <mergeCell ref="B2:M3"/>
    <mergeCell ref="E5:N6"/>
    <mergeCell ref="E12:L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AF638-0956-4E4F-B506-13C3F73AAB51}">
  <dimension ref="B1:M14"/>
  <sheetViews>
    <sheetView tabSelected="1" workbookViewId="0">
      <selection activeCell="C15" sqref="C15"/>
    </sheetView>
  </sheetViews>
  <sheetFormatPr defaultRowHeight="15"/>
  <cols>
    <col min="2" max="2" width="9.7109375" bestFit="1" customWidth="1"/>
  </cols>
  <sheetData>
    <row r="1" spans="2:13" ht="15.75" thickBot="1"/>
    <row r="2" spans="2:13">
      <c r="B2" s="33" t="s">
        <v>32</v>
      </c>
      <c r="C2" s="34"/>
      <c r="D2" s="34"/>
      <c r="E2" s="34"/>
      <c r="F2" s="34"/>
      <c r="G2" s="34"/>
      <c r="H2" s="34"/>
      <c r="I2" s="34"/>
      <c r="J2" s="34"/>
      <c r="K2" s="34"/>
      <c r="L2" s="34"/>
      <c r="M2" s="35"/>
    </row>
    <row r="3" spans="2:13">
      <c r="B3" s="53"/>
      <c r="C3" s="32"/>
      <c r="D3" s="32"/>
      <c r="E3" s="32"/>
      <c r="F3" s="32"/>
      <c r="G3" s="32"/>
      <c r="H3" s="32"/>
      <c r="I3" s="32"/>
      <c r="J3" s="32"/>
      <c r="K3" s="32"/>
      <c r="L3" s="32"/>
      <c r="M3" s="54"/>
    </row>
    <row r="4" spans="2:13" ht="15.75" thickBot="1">
      <c r="B4" s="36"/>
      <c r="C4" s="37"/>
      <c r="D4" s="37"/>
      <c r="E4" s="37"/>
      <c r="F4" s="37"/>
      <c r="G4" s="37"/>
      <c r="H4" s="37"/>
      <c r="I4" s="37"/>
      <c r="J4" s="37"/>
      <c r="K4" s="37"/>
      <c r="L4" s="37"/>
      <c r="M4" s="38"/>
    </row>
    <row r="6" spans="2:13" ht="15.75" thickBot="1">
      <c r="E6" s="2" t="s">
        <v>20</v>
      </c>
    </row>
    <row r="7" spans="2:13" ht="15.75" thickBot="1">
      <c r="B7" s="58" t="s">
        <v>33</v>
      </c>
      <c r="E7" s="59" t="s">
        <v>34</v>
      </c>
      <c r="F7" s="60">
        <f>AVERAGE(B8:B14)</f>
        <v>808.28571428571433</v>
      </c>
    </row>
    <row r="8" spans="2:13" ht="15.75" thickBot="1">
      <c r="B8" s="55">
        <v>100</v>
      </c>
      <c r="E8" s="61" t="s">
        <v>35</v>
      </c>
      <c r="F8" s="62">
        <f>MEDIAN(B8:B14)</f>
        <v>110</v>
      </c>
    </row>
    <row r="9" spans="2:13">
      <c r="B9" s="56">
        <v>105</v>
      </c>
    </row>
    <row r="10" spans="2:13" ht="15.75" thickBot="1">
      <c r="B10" s="56">
        <v>108</v>
      </c>
    </row>
    <row r="11" spans="2:13" ht="18.75" thickBot="1">
      <c r="B11" s="56">
        <v>110</v>
      </c>
      <c r="E11" s="63" t="s">
        <v>36</v>
      </c>
      <c r="F11" s="64"/>
    </row>
    <row r="12" spans="2:13">
      <c r="B12" s="56">
        <v>115</v>
      </c>
      <c r="E12" s="65" t="s">
        <v>37</v>
      </c>
      <c r="F12" s="66"/>
      <c r="G12" s="66"/>
      <c r="H12" s="66"/>
      <c r="I12" s="66"/>
      <c r="J12" s="66"/>
      <c r="K12" s="66"/>
      <c r="L12" s="66"/>
      <c r="M12" s="67"/>
    </row>
    <row r="13" spans="2:13">
      <c r="B13" s="56">
        <v>120</v>
      </c>
      <c r="E13" s="68"/>
      <c r="F13" s="69"/>
      <c r="G13" s="69"/>
      <c r="H13" s="69"/>
      <c r="I13" s="69"/>
      <c r="J13" s="69"/>
      <c r="K13" s="69"/>
      <c r="L13" s="69"/>
      <c r="M13" s="70"/>
    </row>
    <row r="14" spans="2:13" ht="15.75" thickBot="1">
      <c r="B14" s="57">
        <v>5000</v>
      </c>
      <c r="E14" s="71"/>
      <c r="F14" s="72"/>
      <c r="G14" s="72"/>
      <c r="H14" s="72"/>
      <c r="I14" s="72"/>
      <c r="J14" s="72"/>
      <c r="K14" s="72"/>
      <c r="L14" s="72"/>
      <c r="M14" s="73"/>
    </row>
  </sheetData>
  <autoFilter ref="B7:B14" xr:uid="{FC0AF638-0956-4E4F-B506-13C3F73AAB51}">
    <sortState xmlns:xlrd2="http://schemas.microsoft.com/office/spreadsheetml/2017/richdata2" ref="B8:B14">
      <sortCondition ref="B7:B14"/>
    </sortState>
  </autoFilter>
  <mergeCells count="3">
    <mergeCell ref="B2:M4"/>
    <mergeCell ref="E12:M14"/>
    <mergeCell ref="E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vt:lpstr>
      <vt:lpstr>2</vt:lpstr>
      <vt:lpstr>3</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2026-08-19T18:14:06Z</dcterms:modified>
</cp:coreProperties>
</file>