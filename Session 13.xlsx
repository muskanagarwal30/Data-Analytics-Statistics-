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admin\Desktop\TOP TECHS\data anaylitics\STATS\ASSINGNMENT\"/>
    </mc:Choice>
  </mc:AlternateContent>
  <xr:revisionPtr revIDLastSave="0" documentId="13_ncr:1_{BAFA593E-9B3F-425D-9691-CA021D432579}" xr6:coauthVersionLast="47" xr6:coauthVersionMax="47" xr10:uidLastSave="{00000000-0000-0000-0000-000000000000}"/>
  <bookViews>
    <workbookView xWindow="-120" yWindow="-120" windowWidth="20730" windowHeight="11160" activeTab="4" xr2:uid="{00000000-000D-0000-FFFF-FFFF00000000}"/>
  </bookViews>
  <sheets>
    <sheet name="1" sheetId="1" r:id="rId1"/>
    <sheet name="2" sheetId="2" r:id="rId2"/>
    <sheet name="3" sheetId="3" r:id="rId3"/>
    <sheet name="4" sheetId="4" r:id="rId4"/>
    <sheet name="5"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7" i="2" l="1"/>
  <c r="F6" i="2"/>
  <c r="E10" i="1" l="1"/>
  <c r="E11" i="1"/>
  <c r="E9" i="1"/>
</calcChain>
</file>

<file path=xl/sharedStrings.xml><?xml version="1.0" encoding="utf-8"?>
<sst xmlns="http://schemas.openxmlformats.org/spreadsheetml/2006/main" count="143" uniqueCount="76">
  <si>
    <t>Using Python and the scipy.stats library, perform a one-sample t-test to check if the average delivery time for Zomato orders in your city is significantly different from 30 minutes. Assume you have this sample data: [28, 32, 27, 35, 29, 31, 30, 33, 26, 34].</t>
  </si>
  <si>
    <t>Collect or simulate two independent samples of daily step counts: one group for users before installing a fitness app (e.g., Google Fit) and one group after installation. Use Python to perform an independent (two-sample) t-test and determine if the average steps per day increased after using the app.&lt;br&gt;&lt;br&gt;&lt;em&gt;&lt;strong&gt;Hint:&lt;/strong&gt; Use scipy.stats.ttest_ind().&lt;/em&gt;</t>
  </si>
  <si>
    <t>Simulate paired data for 10 users showing their average screen time (in hours) before and after enabling 'Focus Mode' on their phones. Use Python to conduct a paired t-test and report whether 'Focus Mode' significantly reduced screen time.&lt;br&gt;&lt;br&gt;&lt;em&gt;&lt;strong&gt;Hint:&lt;/strong&gt; Use scipy.stats.ttest_rel().&lt;/em&gt;</t>
  </si>
  <si>
    <t>Given this scenario: You want to compare the average ratings of two food delivery apps (Zomato vs Swiggy) based on 15 randomly selected user ratings for each app. Write Python code to perform the appropriate t-test, and explain why you chose that test.</t>
  </si>
  <si>
    <t>Use ChatGPT to help you write Python code that performs a one-sample t-test on a dataset of your choice (for example, average daily UPI transactions per user on PhonePe). Copy the code, run it on your data, and paste both the code and output in your submission.</t>
  </si>
  <si>
    <t xml:space="preserve">Sample Data </t>
  </si>
  <si>
    <t xml:space="preserve">is equal to 30 minute </t>
  </si>
  <si>
    <t xml:space="preserve">is not equal to 30 minute </t>
  </si>
  <si>
    <t>H0:-</t>
  </si>
  <si>
    <t>H1:-</t>
  </si>
  <si>
    <t xml:space="preserve">Mean :- </t>
  </si>
  <si>
    <t>SD:-</t>
  </si>
  <si>
    <t>N:-</t>
  </si>
  <si>
    <t>Variable 1</t>
  </si>
  <si>
    <t>Variable 2</t>
  </si>
  <si>
    <t>Mean</t>
  </si>
  <si>
    <t>Variance</t>
  </si>
  <si>
    <t>Observations</t>
  </si>
  <si>
    <t>Hypothesized Mean Difference</t>
  </si>
  <si>
    <t>df</t>
  </si>
  <si>
    <t>t Stat</t>
  </si>
  <si>
    <t>P(T&lt;=t) one-tail</t>
  </si>
  <si>
    <t>t Critical one-tail</t>
  </si>
  <si>
    <t>P(T&lt;=t) two-tail</t>
  </si>
  <si>
    <t>t Critical two-tail</t>
  </si>
  <si>
    <t>Observation:-</t>
  </si>
  <si>
    <t>P(t)</t>
  </si>
  <si>
    <t>Alpha</t>
  </si>
  <si>
    <t>T(Critical)</t>
  </si>
  <si>
    <t>T(Stats)</t>
  </si>
  <si>
    <t>t-Test: Two-Sample Assuming Unequal Variances</t>
  </si>
  <si>
    <t>&gt;</t>
  </si>
  <si>
    <t>Decision:-</t>
  </si>
  <si>
    <t>As p(value) is more then alpha so we fail to reject null hypothesis and we conclude that the average delivery time for zomato orders was significantly different from 30 mintutes.</t>
  </si>
  <si>
    <t>Before App</t>
  </si>
  <si>
    <t>After App</t>
  </si>
  <si>
    <t>mean before</t>
  </si>
  <si>
    <t>mean after</t>
  </si>
  <si>
    <t>t-Test: Two-Sample Assuming Equal Variances</t>
  </si>
  <si>
    <t>Pooled Variance</t>
  </si>
  <si>
    <t>&lt;</t>
  </si>
  <si>
    <t>As p(value) is less then alpha so we reject null hypothesis and we conclude that the average steps per day increased after using the app.</t>
  </si>
  <si>
    <t xml:space="preserve">H0:- </t>
  </si>
  <si>
    <t>Average steps per day not increased after using the app</t>
  </si>
  <si>
    <t>Average steps per day increased after using the app</t>
  </si>
  <si>
    <t>User</t>
  </si>
  <si>
    <t>Before Focus Mode</t>
  </si>
  <si>
    <t>After Focus Mode</t>
  </si>
  <si>
    <t>User 1</t>
  </si>
  <si>
    <t>User 2</t>
  </si>
  <si>
    <t>User 3</t>
  </si>
  <si>
    <t>User 4</t>
  </si>
  <si>
    <t>User 5</t>
  </si>
  <si>
    <t>User 6</t>
  </si>
  <si>
    <t>User 7</t>
  </si>
  <si>
    <t>User 8</t>
  </si>
  <si>
    <t>User 9</t>
  </si>
  <si>
    <t>User 10</t>
  </si>
  <si>
    <t xml:space="preserve"> </t>
  </si>
  <si>
    <t>t-Test: Paired Two Sample for Means</t>
  </si>
  <si>
    <t>Pearson Correlation</t>
  </si>
  <si>
    <t>As p(value) is less then alpha so we reject null hypothesis and we conclude that the 'Focus mode' significantly reduced screen time.</t>
  </si>
  <si>
    <t>Screen time significantly not reduced</t>
  </si>
  <si>
    <t>Screen time significantly reduced</t>
  </si>
  <si>
    <t>Zomato</t>
  </si>
  <si>
    <t>Swiggy</t>
  </si>
  <si>
    <t>average rating of two app significantly different</t>
  </si>
  <si>
    <t>average rating of two app significantly not different</t>
  </si>
  <si>
    <t xml:space="preserve">As p(value) is less then alpha so we reject null hypothesis and we conclude that the two food delivery apps average rating are not significantly different </t>
  </si>
  <si>
    <t>Sample Mean: 5.2</t>
  </si>
  <si>
    <t>t-statistic: 0.6547</t>
  </si>
  <si>
    <t>p-value: 0.5234</t>
  </si>
  <si>
    <t>Fail to reject the null hypothesis.</t>
  </si>
  <si>
    <t>There is not enough evidence to say that the average daily UPI transactions are different from 5.</t>
  </si>
  <si>
    <t>Python Output</t>
  </si>
  <si>
    <t>Python Code from ChatGPT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</si>
</sst>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9"/>
      <color rgb="FF878A99"/>
      <name val="Segoe UI"/>
      <family val="2"/>
    </font>
    <font>
      <b/>
      <i/>
      <sz val="11"/>
      <color theme="1"/>
      <name val="Calibri"/>
      <family val="2"/>
      <scheme val="minor"/>
    </font>
    <font>
      <b/>
      <sz val="11"/>
      <color theme="1"/>
      <name val="Calibri"/>
      <family val="2"/>
      <scheme val="minor"/>
    </font>
    <font>
      <b/>
      <sz val="14"/>
      <color theme="1"/>
      <name val="Calibri"/>
      <family val="2"/>
      <scheme val="minor"/>
    </font>
    <font>
      <i/>
      <sz val="11"/>
      <color theme="1"/>
      <name val="Calibri"/>
      <family val="2"/>
      <scheme val="minor"/>
    </font>
    <font>
      <b/>
      <sz val="16"/>
      <color theme="1"/>
      <name val="Calibri"/>
      <family val="2"/>
      <scheme val="minor"/>
    </font>
    <font>
      <b/>
      <sz val="18"/>
      <color theme="1"/>
      <name val="Calibri"/>
      <family val="2"/>
      <scheme val="minor"/>
    </font>
    <font>
      <b/>
      <u/>
      <sz val="16"/>
      <color theme="0"/>
      <name val="Calibri"/>
      <family val="2"/>
      <scheme val="minor"/>
    </font>
    <font>
      <sz val="12"/>
      <color theme="0"/>
      <name val="Calibri"/>
      <family val="2"/>
      <scheme val="minor"/>
    </font>
  </fonts>
  <fills count="3">
    <fill>
      <patternFill patternType="none"/>
    </fill>
    <fill>
      <patternFill patternType="gray125"/>
    </fill>
    <fill>
      <patternFill patternType="solid">
        <fgColor theme="1"/>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medium">
        <color indexed="64"/>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88">
    <xf numFmtId="0" fontId="0" fillId="0" borderId="0" xfId="0"/>
    <xf numFmtId="0" fontId="0" fillId="0" borderId="0" xfId="0" applyAlignment="1">
      <alignment horizontal="right"/>
    </xf>
    <xf numFmtId="0" fontId="0" fillId="0" borderId="13" xfId="0" applyBorder="1"/>
    <xf numFmtId="0" fontId="0" fillId="0" borderId="14" xfId="0" applyBorder="1"/>
    <xf numFmtId="0" fontId="0" fillId="0" borderId="17" xfId="0" applyBorder="1"/>
    <xf numFmtId="0" fontId="0" fillId="0" borderId="18" xfId="0" applyBorder="1"/>
    <xf numFmtId="0" fontId="0" fillId="0" borderId="19" xfId="0" applyBorder="1"/>
    <xf numFmtId="0" fontId="0" fillId="0" borderId="15" xfId="0" applyBorder="1"/>
    <xf numFmtId="0" fontId="2" fillId="0" borderId="16" xfId="0" applyFont="1" applyBorder="1" applyAlignment="1">
      <alignment horizontal="center"/>
    </xf>
    <xf numFmtId="0" fontId="2" fillId="0" borderId="21" xfId="0" applyFont="1" applyBorder="1" applyAlignment="1">
      <alignment horizontal="center"/>
    </xf>
    <xf numFmtId="0" fontId="2" fillId="0" borderId="10" xfId="0" applyFont="1" applyBorder="1" applyAlignment="1">
      <alignment horizontal="center"/>
    </xf>
    <xf numFmtId="0" fontId="0" fillId="0" borderId="13" xfId="0" applyBorder="1" applyAlignment="1">
      <alignment horizontal="center"/>
    </xf>
    <xf numFmtId="0" fontId="0" fillId="0" borderId="0" xfId="0" applyAlignment="1">
      <alignment horizontal="center"/>
    </xf>
    <xf numFmtId="0" fontId="0" fillId="0" borderId="19" xfId="0" applyBorder="1" applyAlignment="1">
      <alignment horizontal="center"/>
    </xf>
    <xf numFmtId="0" fontId="0" fillId="0" borderId="14" xfId="0" applyBorder="1" applyAlignment="1">
      <alignment horizontal="center"/>
    </xf>
    <xf numFmtId="0" fontId="0" fillId="0" borderId="9" xfId="0" applyBorder="1" applyAlignment="1">
      <alignment horizontal="center"/>
    </xf>
    <xf numFmtId="0" fontId="0" fillId="0" borderId="15" xfId="0" applyBorder="1" applyAlignment="1">
      <alignment horizontal="center"/>
    </xf>
    <xf numFmtId="0" fontId="0" fillId="0" borderId="11" xfId="0" applyBorder="1" applyAlignment="1">
      <alignment horizontal="center"/>
    </xf>
    <xf numFmtId="0" fontId="0" fillId="0" borderId="8" xfId="0" applyBorder="1" applyAlignment="1">
      <alignment horizontal="center"/>
    </xf>
    <xf numFmtId="0" fontId="0" fillId="0" borderId="12" xfId="0" applyBorder="1" applyAlignment="1">
      <alignment horizontal="center"/>
    </xf>
    <xf numFmtId="0" fontId="3" fillId="0" borderId="0" xfId="0" applyFont="1" applyAlignment="1">
      <alignment horizontal="right" vertical="center"/>
    </xf>
    <xf numFmtId="0" fontId="0" fillId="0" borderId="0" xfId="0" applyAlignment="1">
      <alignment horizontal="right" vertical="center"/>
    </xf>
    <xf numFmtId="0" fontId="1" fillId="0" borderId="1" xfId="0" applyFont="1" applyBorder="1" applyAlignment="1">
      <alignment vertical="center" wrapText="1"/>
    </xf>
    <xf numFmtId="0" fontId="4" fillId="0" borderId="11" xfId="0" applyFont="1" applyBorder="1" applyAlignment="1">
      <alignment horizontal="center" vertical="center"/>
    </xf>
    <xf numFmtId="0" fontId="4" fillId="0" borderId="8" xfId="0" applyFont="1" applyBorder="1" applyAlignment="1">
      <alignment horizontal="center" vertical="center"/>
    </xf>
    <xf numFmtId="0" fontId="4" fillId="0" borderId="12" xfId="0" applyFont="1" applyBorder="1" applyAlignment="1">
      <alignment horizontal="center" vertical="center"/>
    </xf>
    <xf numFmtId="0" fontId="4" fillId="0" borderId="14" xfId="0" applyFont="1" applyBorder="1" applyAlignment="1">
      <alignment horizontal="center" vertical="center"/>
    </xf>
    <xf numFmtId="0" fontId="4" fillId="0" borderId="9" xfId="0" applyFont="1" applyBorder="1" applyAlignment="1">
      <alignment horizontal="center" vertical="center"/>
    </xf>
    <xf numFmtId="0" fontId="4" fillId="0" borderId="15" xfId="0" applyFont="1" applyBorder="1" applyAlignment="1">
      <alignment horizontal="center" vertical="center"/>
    </xf>
    <xf numFmtId="0" fontId="0" fillId="0" borderId="16" xfId="0"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16" xfId="0" applyBorder="1"/>
    <xf numFmtId="0" fontId="0" fillId="0" borderId="20" xfId="0" applyBorder="1"/>
    <xf numFmtId="0" fontId="0" fillId="0" borderId="21" xfId="0" applyBorder="1"/>
    <xf numFmtId="0" fontId="0" fillId="0" borderId="11" xfId="0" applyBorder="1" applyAlignment="1">
      <alignment wrapText="1"/>
    </xf>
    <xf numFmtId="0" fontId="0" fillId="0" borderId="8" xfId="0" applyBorder="1" applyAlignment="1">
      <alignment wrapText="1"/>
    </xf>
    <xf numFmtId="0" fontId="0" fillId="0" borderId="12" xfId="0" applyBorder="1" applyAlignment="1">
      <alignment wrapText="1"/>
    </xf>
    <xf numFmtId="0" fontId="0" fillId="0" borderId="13" xfId="0" applyBorder="1" applyAlignment="1">
      <alignment wrapText="1"/>
    </xf>
    <xf numFmtId="0" fontId="0" fillId="0" borderId="0" xfId="0" applyAlignment="1">
      <alignment wrapText="1"/>
    </xf>
    <xf numFmtId="0" fontId="0" fillId="0" borderId="19" xfId="0" applyBorder="1" applyAlignment="1">
      <alignment wrapText="1"/>
    </xf>
    <xf numFmtId="0" fontId="0" fillId="0" borderId="14" xfId="0" applyBorder="1" applyAlignment="1">
      <alignment wrapText="1"/>
    </xf>
    <xf numFmtId="0" fontId="0" fillId="0" borderId="9" xfId="0" applyBorder="1" applyAlignment="1">
      <alignment wrapText="1"/>
    </xf>
    <xf numFmtId="0" fontId="0" fillId="0" borderId="15" xfId="0" applyBorder="1" applyAlignment="1">
      <alignment wrapText="1"/>
    </xf>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5" xfId="0" applyFont="1" applyBorder="1" applyAlignment="1">
      <alignment vertical="center" wrapText="1"/>
    </xf>
    <xf numFmtId="0" fontId="1" fillId="0" borderId="6" xfId="0" applyFont="1" applyBorder="1" applyAlignment="1">
      <alignment vertical="center" wrapText="1"/>
    </xf>
    <xf numFmtId="0" fontId="1" fillId="0" borderId="7" xfId="0" applyFont="1" applyBorder="1" applyAlignment="1">
      <alignment vertical="center" wrapText="1"/>
    </xf>
    <xf numFmtId="0" fontId="0" fillId="0" borderId="0" xfId="0"/>
    <xf numFmtId="0" fontId="0" fillId="0" borderId="0" xfId="0" applyAlignment="1">
      <alignment vertical="center"/>
    </xf>
    <xf numFmtId="0" fontId="3" fillId="0" borderId="1" xfId="0" applyFont="1" applyBorder="1" applyAlignment="1">
      <alignment horizontal="center" vertical="center"/>
    </xf>
    <xf numFmtId="0" fontId="3" fillId="0" borderId="1" xfId="0" applyFont="1" applyBorder="1" applyAlignment="1">
      <alignment horizontal="right" vertical="center"/>
    </xf>
    <xf numFmtId="0" fontId="0" fillId="0" borderId="1" xfId="0" applyBorder="1" applyAlignment="1">
      <alignment vertical="center"/>
    </xf>
    <xf numFmtId="0" fontId="0" fillId="0" borderId="1" xfId="0" applyBorder="1" applyAlignment="1">
      <alignment horizontal="right" vertical="center"/>
    </xf>
    <xf numFmtId="0" fontId="0" fillId="0" borderId="13" xfId="0" applyFill="1" applyBorder="1" applyAlignment="1"/>
    <xf numFmtId="0" fontId="0" fillId="0" borderId="19" xfId="0" applyFill="1" applyBorder="1" applyAlignment="1"/>
    <xf numFmtId="0" fontId="0" fillId="0" borderId="14" xfId="0" applyFill="1" applyBorder="1" applyAlignment="1"/>
    <xf numFmtId="0" fontId="0" fillId="0" borderId="15" xfId="0" applyFill="1" applyBorder="1" applyAlignment="1"/>
    <xf numFmtId="0" fontId="5" fillId="0" borderId="16" xfId="0" applyFont="1" applyFill="1" applyBorder="1" applyAlignment="1">
      <alignment horizontal="center"/>
    </xf>
    <xf numFmtId="0" fontId="5" fillId="0" borderId="21" xfId="0" applyFont="1" applyFill="1" applyBorder="1" applyAlignment="1">
      <alignment horizontal="center"/>
    </xf>
    <xf numFmtId="0" fontId="5" fillId="0" borderId="10" xfId="0" applyFont="1" applyFill="1" applyBorder="1" applyAlignment="1">
      <alignment horizontal="center"/>
    </xf>
    <xf numFmtId="0" fontId="0" fillId="0" borderId="17" xfId="0" applyFill="1" applyBorder="1" applyAlignment="1"/>
    <xf numFmtId="0" fontId="0" fillId="0" borderId="18" xfId="0" applyFill="1" applyBorder="1" applyAlignment="1"/>
    <xf numFmtId="0" fontId="7" fillId="0" borderId="11" xfId="0" applyFont="1" applyBorder="1" applyAlignment="1">
      <alignment horizontal="center" vertical="center" wrapText="1"/>
    </xf>
    <xf numFmtId="0" fontId="7" fillId="0" borderId="8"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14" xfId="0" applyFont="1" applyBorder="1" applyAlignment="1">
      <alignment horizontal="center" vertical="center" wrapText="1"/>
    </xf>
    <xf numFmtId="0" fontId="7" fillId="0" borderId="9" xfId="0" applyFont="1" applyBorder="1" applyAlignment="1">
      <alignment horizontal="center" vertical="center" wrapText="1"/>
    </xf>
    <xf numFmtId="0" fontId="7" fillId="0" borderId="15" xfId="0" applyFont="1" applyBorder="1" applyAlignment="1">
      <alignment horizontal="center" vertical="center" wrapText="1"/>
    </xf>
    <xf numFmtId="0" fontId="2" fillId="0" borderId="10" xfId="0" applyFont="1" applyFill="1" applyBorder="1" applyAlignment="1">
      <alignment horizontal="center"/>
    </xf>
    <xf numFmtId="0" fontId="2" fillId="0" borderId="21" xfId="0" applyFont="1" applyFill="1" applyBorder="1" applyAlignment="1">
      <alignment horizontal="center"/>
    </xf>
    <xf numFmtId="0" fontId="3" fillId="0" borderId="1" xfId="0" applyFont="1" applyBorder="1" applyAlignment="1">
      <alignment horizontal="center" vertical="center" wrapText="1"/>
    </xf>
    <xf numFmtId="0" fontId="3" fillId="0" borderId="1" xfId="0" applyFont="1" applyBorder="1" applyAlignment="1">
      <alignment horizontal="right" vertical="center" wrapText="1"/>
    </xf>
    <xf numFmtId="0" fontId="0" fillId="0" borderId="1" xfId="0" applyBorder="1" applyAlignment="1">
      <alignment vertical="center" wrapText="1"/>
    </xf>
    <xf numFmtId="0" fontId="0" fillId="0" borderId="1" xfId="0" applyBorder="1" applyAlignment="1">
      <alignment horizontal="right" vertical="center" wrapText="1"/>
    </xf>
    <xf numFmtId="0" fontId="6" fillId="0" borderId="11" xfId="0" applyFont="1" applyBorder="1" applyAlignment="1">
      <alignment horizontal="center" vertical="center"/>
    </xf>
    <xf numFmtId="0" fontId="6" fillId="0" borderId="8" xfId="0" applyFont="1" applyBorder="1" applyAlignment="1">
      <alignment horizontal="center" vertical="center"/>
    </xf>
    <xf numFmtId="0" fontId="6" fillId="0" borderId="12" xfId="0" applyFont="1" applyBorder="1" applyAlignment="1">
      <alignment horizontal="center" vertical="center"/>
    </xf>
    <xf numFmtId="0" fontId="6" fillId="0" borderId="14" xfId="0" applyFont="1" applyBorder="1" applyAlignment="1">
      <alignment horizontal="center" vertical="center"/>
    </xf>
    <xf numFmtId="0" fontId="6" fillId="0" borderId="9" xfId="0" applyFont="1" applyBorder="1" applyAlignment="1">
      <alignment horizontal="center" vertical="center"/>
    </xf>
    <xf numFmtId="0" fontId="6" fillId="0" borderId="15" xfId="0" applyFont="1" applyBorder="1" applyAlignment="1">
      <alignment horizontal="center" vertical="center"/>
    </xf>
    <xf numFmtId="0" fontId="8" fillId="2" borderId="16" xfId="0" applyFont="1" applyFill="1" applyBorder="1" applyAlignment="1">
      <alignment horizontal="center"/>
    </xf>
    <xf numFmtId="0" fontId="8" fillId="2" borderId="20" xfId="0" applyFont="1" applyFill="1" applyBorder="1" applyAlignment="1">
      <alignment horizontal="center"/>
    </xf>
    <xf numFmtId="0" fontId="8" fillId="2" borderId="21" xfId="0" applyFont="1" applyFill="1" applyBorder="1" applyAlignment="1">
      <alignment horizontal="center"/>
    </xf>
    <xf numFmtId="0" fontId="9" fillId="2" borderId="16" xfId="0" applyFont="1" applyFill="1" applyBorder="1" applyAlignment="1">
      <alignment horizontal="center"/>
    </xf>
    <xf numFmtId="0" fontId="9" fillId="2" borderId="20"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590550</xdr:colOff>
      <xdr:row>6</xdr:row>
      <xdr:rowOff>9525</xdr:rowOff>
    </xdr:from>
    <xdr:to>
      <xdr:col>8</xdr:col>
      <xdr:colOff>28574</xdr:colOff>
      <xdr:row>36</xdr:row>
      <xdr:rowOff>9525</xdr:rowOff>
    </xdr:to>
    <xdr:pic>
      <xdr:nvPicPr>
        <xdr:cNvPr id="3" name="Picture 2">
          <a:extLst>
            <a:ext uri="{FF2B5EF4-FFF2-40B4-BE49-F238E27FC236}">
              <a16:creationId xmlns:a16="http://schemas.microsoft.com/office/drawing/2014/main" id="{FF8D8461-04E7-BEFB-D5D9-8D107448B55A}"/>
            </a:ext>
          </a:extLst>
        </xdr:cNvPr>
        <xdr:cNvPicPr>
          <a:picLocks noChangeAspect="1"/>
        </xdr:cNvPicPr>
      </xdr:nvPicPr>
      <xdr:blipFill>
        <a:blip xmlns:r="http://schemas.openxmlformats.org/officeDocument/2006/relationships" r:embed="rId1" cstate="print">
          <a:biLevel thresh="50000"/>
          <a:extLst>
            <a:ext uri="{28A0092B-C50C-407E-A947-70E740481C1C}">
              <a14:useLocalDpi xmlns:a14="http://schemas.microsoft.com/office/drawing/2010/main" val="0"/>
            </a:ext>
          </a:extLst>
        </a:blip>
        <a:stretch>
          <a:fillRect/>
        </a:stretch>
      </xdr:blipFill>
      <xdr:spPr>
        <a:xfrm>
          <a:off x="590550" y="1247775"/>
          <a:ext cx="4972049" cy="58293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P18"/>
  <sheetViews>
    <sheetView workbookViewId="0">
      <selection activeCell="M6" sqref="M6:P16"/>
    </sheetView>
  </sheetViews>
  <sheetFormatPr defaultRowHeight="15" x14ac:dyDescent="0.25"/>
  <cols>
    <col min="1" max="1" width="12.42578125" bestFit="1" customWidth="1"/>
    <col min="4" max="4" width="8.140625" bestFit="1" customWidth="1"/>
    <col min="9" max="9" width="34.140625" bestFit="1" customWidth="1"/>
    <col min="10" max="10" width="12" bestFit="1" customWidth="1"/>
    <col min="11" max="11" width="10.28515625" bestFit="1" customWidth="1"/>
    <col min="13" max="13" width="13.28515625" bestFit="1" customWidth="1"/>
  </cols>
  <sheetData>
    <row r="2" spans="1:16" ht="15" customHeight="1" x14ac:dyDescent="0.25">
      <c r="A2" s="44" t="s">
        <v>0</v>
      </c>
      <c r="B2" s="45"/>
      <c r="C2" s="45"/>
      <c r="D2" s="45"/>
      <c r="E2" s="45"/>
      <c r="F2" s="45"/>
      <c r="G2" s="45"/>
      <c r="H2" s="45"/>
      <c r="I2" s="45"/>
      <c r="J2" s="45"/>
      <c r="K2" s="45"/>
      <c r="L2" s="45"/>
      <c r="M2" s="45"/>
      <c r="N2" s="45"/>
      <c r="O2" s="45"/>
      <c r="P2" s="46"/>
    </row>
    <row r="3" spans="1:16" x14ac:dyDescent="0.25">
      <c r="A3" s="47"/>
      <c r="B3" s="48"/>
      <c r="C3" s="48"/>
      <c r="D3" s="48"/>
      <c r="E3" s="48"/>
      <c r="F3" s="48"/>
      <c r="G3" s="48"/>
      <c r="H3" s="48"/>
      <c r="I3" s="48"/>
      <c r="J3" s="48"/>
      <c r="K3" s="48"/>
      <c r="L3" s="48"/>
      <c r="M3" s="48"/>
      <c r="N3" s="48"/>
      <c r="O3" s="48"/>
      <c r="P3" s="49"/>
    </row>
    <row r="5" spans="1:16" ht="15.75" thickBot="1" x14ac:dyDescent="0.3">
      <c r="A5" t="s">
        <v>5</v>
      </c>
    </row>
    <row r="6" spans="1:16" ht="15.75" thickBot="1" x14ac:dyDescent="0.3">
      <c r="A6">
        <v>28</v>
      </c>
      <c r="B6">
        <v>0</v>
      </c>
      <c r="D6" s="1" t="s">
        <v>8</v>
      </c>
      <c r="E6" s="50" t="s">
        <v>6</v>
      </c>
      <c r="F6" s="50"/>
      <c r="G6" s="50"/>
      <c r="I6" s="23" t="s">
        <v>30</v>
      </c>
      <c r="J6" s="24"/>
      <c r="K6" s="25"/>
      <c r="M6" s="29" t="s">
        <v>25</v>
      </c>
      <c r="N6" s="30"/>
      <c r="O6" s="31"/>
    </row>
    <row r="7" spans="1:16" ht="15.75" thickBot="1" x14ac:dyDescent="0.3">
      <c r="A7">
        <v>32</v>
      </c>
      <c r="B7">
        <v>0</v>
      </c>
      <c r="D7" s="1" t="s">
        <v>9</v>
      </c>
      <c r="E7" s="50" t="s">
        <v>7</v>
      </c>
      <c r="F7" s="50"/>
      <c r="G7" s="50"/>
      <c r="I7" s="26"/>
      <c r="J7" s="27"/>
      <c r="K7" s="28"/>
      <c r="M7" s="17" t="s">
        <v>26</v>
      </c>
      <c r="N7" s="18"/>
      <c r="O7" s="19" t="s">
        <v>27</v>
      </c>
    </row>
    <row r="8" spans="1:16" ht="15.75" thickBot="1" x14ac:dyDescent="0.3">
      <c r="A8">
        <v>27</v>
      </c>
      <c r="B8">
        <v>0</v>
      </c>
      <c r="I8" s="8"/>
      <c r="J8" s="10" t="s">
        <v>13</v>
      </c>
      <c r="K8" s="9" t="s">
        <v>14</v>
      </c>
      <c r="M8" s="14">
        <v>0.61</v>
      </c>
      <c r="N8" s="15" t="s">
        <v>31</v>
      </c>
      <c r="O8" s="16">
        <v>0.05</v>
      </c>
    </row>
    <row r="9" spans="1:16" x14ac:dyDescent="0.25">
      <c r="A9">
        <v>35</v>
      </c>
      <c r="B9">
        <v>0</v>
      </c>
      <c r="D9" s="1" t="s">
        <v>10</v>
      </c>
      <c r="E9">
        <f>AVERAGE(A6:A15)</f>
        <v>30.5</v>
      </c>
      <c r="I9" s="2" t="s">
        <v>15</v>
      </c>
      <c r="J9" s="4">
        <v>30.5</v>
      </c>
      <c r="K9" s="6">
        <v>0</v>
      </c>
      <c r="M9" s="11" t="s">
        <v>28</v>
      </c>
      <c r="N9" s="12"/>
      <c r="O9" s="13" t="s">
        <v>29</v>
      </c>
    </row>
    <row r="10" spans="1:16" ht="15.75" thickBot="1" x14ac:dyDescent="0.3">
      <c r="A10">
        <v>29</v>
      </c>
      <c r="B10">
        <v>0</v>
      </c>
      <c r="D10" s="1" t="s">
        <v>11</v>
      </c>
      <c r="E10">
        <f>_xlfn.STDEV.S(A6:A15)</f>
        <v>3.0276503540974917</v>
      </c>
      <c r="I10" s="2" t="s">
        <v>16</v>
      </c>
      <c r="J10" s="4">
        <v>9.1666666666666661</v>
      </c>
      <c r="K10" s="6">
        <v>0</v>
      </c>
      <c r="M10" s="14">
        <v>2.2599999999999998</v>
      </c>
      <c r="N10" s="15" t="s">
        <v>31</v>
      </c>
      <c r="O10" s="16">
        <v>0.52</v>
      </c>
    </row>
    <row r="11" spans="1:16" ht="15.75" thickBot="1" x14ac:dyDescent="0.3">
      <c r="A11">
        <v>31</v>
      </c>
      <c r="B11">
        <v>0</v>
      </c>
      <c r="D11" s="1" t="s">
        <v>12</v>
      </c>
      <c r="E11">
        <f>COUNT(A6:A15)</f>
        <v>10</v>
      </c>
      <c r="I11" s="2" t="s">
        <v>17</v>
      </c>
      <c r="J11" s="4">
        <v>10</v>
      </c>
      <c r="K11" s="6">
        <v>10</v>
      </c>
    </row>
    <row r="12" spans="1:16" ht="15.75" thickBot="1" x14ac:dyDescent="0.3">
      <c r="A12">
        <v>30</v>
      </c>
      <c r="B12">
        <v>0</v>
      </c>
      <c r="I12" s="2" t="s">
        <v>18</v>
      </c>
      <c r="J12" s="4">
        <v>30</v>
      </c>
      <c r="K12" s="6"/>
      <c r="M12" s="32" t="s">
        <v>32</v>
      </c>
      <c r="N12" s="33"/>
      <c r="O12" s="33"/>
      <c r="P12" s="34"/>
    </row>
    <row r="13" spans="1:16" x14ac:dyDescent="0.25">
      <c r="A13">
        <v>33</v>
      </c>
      <c r="B13">
        <v>0</v>
      </c>
      <c r="I13" s="2" t="s">
        <v>19</v>
      </c>
      <c r="J13" s="4">
        <v>9</v>
      </c>
      <c r="K13" s="6"/>
      <c r="M13" s="35" t="s">
        <v>33</v>
      </c>
      <c r="N13" s="36"/>
      <c r="O13" s="36"/>
      <c r="P13" s="37"/>
    </row>
    <row r="14" spans="1:16" x14ac:dyDescent="0.25">
      <c r="A14">
        <v>26</v>
      </c>
      <c r="B14">
        <v>0</v>
      </c>
      <c r="I14" s="2" t="s">
        <v>20</v>
      </c>
      <c r="J14" s="4">
        <v>0.5222329678670935</v>
      </c>
      <c r="K14" s="6"/>
      <c r="M14" s="38"/>
      <c r="N14" s="39"/>
      <c r="O14" s="39"/>
      <c r="P14" s="40"/>
    </row>
    <row r="15" spans="1:16" x14ac:dyDescent="0.25">
      <c r="A15">
        <v>34</v>
      </c>
      <c r="B15">
        <v>0</v>
      </c>
      <c r="I15" s="2" t="s">
        <v>21</v>
      </c>
      <c r="J15" s="4">
        <v>0.30705862740419698</v>
      </c>
      <c r="K15" s="6"/>
      <c r="M15" s="38"/>
      <c r="N15" s="39"/>
      <c r="O15" s="39"/>
      <c r="P15" s="40"/>
    </row>
    <row r="16" spans="1:16" ht="15.75" thickBot="1" x14ac:dyDescent="0.3">
      <c r="I16" s="2" t="s">
        <v>22</v>
      </c>
      <c r="J16" s="4">
        <v>1.8331129326562374</v>
      </c>
      <c r="K16" s="6"/>
      <c r="M16" s="41"/>
      <c r="N16" s="42"/>
      <c r="O16" s="42"/>
      <c r="P16" s="43"/>
    </row>
    <row r="17" spans="9:11" x14ac:dyDescent="0.25">
      <c r="I17" s="2" t="s">
        <v>23</v>
      </c>
      <c r="J17" s="4">
        <v>0.61411725480839396</v>
      </c>
      <c r="K17" s="6"/>
    </row>
    <row r="18" spans="9:11" ht="15.75" thickBot="1" x14ac:dyDescent="0.3">
      <c r="I18" s="3" t="s">
        <v>24</v>
      </c>
      <c r="J18" s="5">
        <v>2.2621571627982053</v>
      </c>
      <c r="K18" s="7"/>
    </row>
  </sheetData>
  <mergeCells count="7">
    <mergeCell ref="A2:P3"/>
    <mergeCell ref="E6:G6"/>
    <mergeCell ref="E7:G7"/>
    <mergeCell ref="I6:K7"/>
    <mergeCell ref="M13:P16"/>
    <mergeCell ref="M12:P12"/>
    <mergeCell ref="M6:O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CF4B4-9F23-455C-B24B-64D42CB4B13C}">
  <dimension ref="B2:R20"/>
  <sheetViews>
    <sheetView topLeftCell="B2" workbookViewId="0">
      <selection activeCell="E9" sqref="E9:G15"/>
    </sheetView>
  </sheetViews>
  <sheetFormatPr defaultRowHeight="15" x14ac:dyDescent="0.25"/>
  <cols>
    <col min="2" max="2" width="11" bestFit="1" customWidth="1"/>
    <col min="3" max="3" width="9.5703125" bestFit="1" customWidth="1"/>
    <col min="5" max="5" width="12.42578125" bestFit="1" customWidth="1"/>
    <col min="9" max="9" width="34.140625" bestFit="1" customWidth="1"/>
    <col min="10" max="10" width="12.7109375" bestFit="1" customWidth="1"/>
    <col min="11" max="11" width="10.28515625" bestFit="1" customWidth="1"/>
  </cols>
  <sheetData>
    <row r="2" spans="2:18" x14ac:dyDescent="0.25">
      <c r="B2" s="22" t="s">
        <v>1</v>
      </c>
      <c r="C2" s="22"/>
      <c r="D2" s="22"/>
      <c r="E2" s="22"/>
      <c r="F2" s="22"/>
      <c r="G2" s="22"/>
      <c r="H2" s="22"/>
      <c r="I2" s="22"/>
      <c r="J2" s="22"/>
      <c r="K2" s="22"/>
      <c r="L2" s="22"/>
      <c r="M2" s="22"/>
      <c r="N2" s="22"/>
      <c r="O2" s="22"/>
      <c r="P2" s="22"/>
      <c r="Q2" s="22"/>
      <c r="R2" s="22"/>
    </row>
    <row r="3" spans="2:18" x14ac:dyDescent="0.25">
      <c r="B3" s="22"/>
      <c r="C3" s="22"/>
      <c r="D3" s="22"/>
      <c r="E3" s="22"/>
      <c r="F3" s="22"/>
      <c r="G3" s="22"/>
      <c r="H3" s="22"/>
      <c r="I3" s="22"/>
      <c r="J3" s="22"/>
      <c r="K3" s="22"/>
      <c r="L3" s="22"/>
      <c r="M3" s="22"/>
      <c r="N3" s="22"/>
      <c r="O3" s="22"/>
      <c r="P3" s="22"/>
      <c r="Q3" s="22"/>
      <c r="R3" s="22"/>
    </row>
    <row r="5" spans="2:18" ht="15.75" thickBot="1" x14ac:dyDescent="0.3">
      <c r="B5" s="20" t="s">
        <v>34</v>
      </c>
      <c r="C5" s="20" t="s">
        <v>35</v>
      </c>
    </row>
    <row r="6" spans="2:18" ht="15.75" thickBot="1" x14ac:dyDescent="0.3">
      <c r="B6" s="21">
        <v>5200</v>
      </c>
      <c r="C6" s="21">
        <v>6800</v>
      </c>
      <c r="E6" t="s">
        <v>36</v>
      </c>
      <c r="F6">
        <f>AVERAGE(B6:B20)</f>
        <v>5693.333333333333</v>
      </c>
      <c r="I6" s="23" t="s">
        <v>38</v>
      </c>
      <c r="J6" s="24"/>
      <c r="K6" s="25"/>
      <c r="M6" s="29" t="s">
        <v>25</v>
      </c>
      <c r="N6" s="30"/>
      <c r="O6" s="31"/>
    </row>
    <row r="7" spans="2:18" ht="15.75" thickBot="1" x14ac:dyDescent="0.3">
      <c r="B7" s="21">
        <v>6100</v>
      </c>
      <c r="C7" s="21">
        <v>7200</v>
      </c>
      <c r="E7" t="s">
        <v>37</v>
      </c>
      <c r="F7">
        <f>AVERAGE(C6:C20)</f>
        <v>7500</v>
      </c>
      <c r="I7" s="26"/>
      <c r="J7" s="27"/>
      <c r="K7" s="28"/>
      <c r="M7" s="17" t="s">
        <v>26</v>
      </c>
      <c r="N7" s="18"/>
      <c r="O7" s="19" t="s">
        <v>27</v>
      </c>
    </row>
    <row r="8" spans="2:18" ht="15.75" thickBot="1" x14ac:dyDescent="0.3">
      <c r="B8" s="21">
        <v>4800</v>
      </c>
      <c r="C8" s="21">
        <v>7500</v>
      </c>
      <c r="I8" s="8"/>
      <c r="J8" s="10" t="s">
        <v>13</v>
      </c>
      <c r="K8" s="9" t="s">
        <v>14</v>
      </c>
      <c r="M8" s="14">
        <v>0</v>
      </c>
      <c r="N8" s="15" t="s">
        <v>40</v>
      </c>
      <c r="O8" s="16">
        <v>0.05</v>
      </c>
    </row>
    <row r="9" spans="2:18" x14ac:dyDescent="0.25">
      <c r="B9" s="21">
        <v>5700</v>
      </c>
      <c r="C9" s="21">
        <v>6900</v>
      </c>
      <c r="E9" s="1" t="s">
        <v>42</v>
      </c>
      <c r="F9" s="39" t="s">
        <v>43</v>
      </c>
      <c r="G9" s="39"/>
      <c r="I9" s="2" t="s">
        <v>15</v>
      </c>
      <c r="J9" s="4">
        <v>5693.333333333333</v>
      </c>
      <c r="K9" s="6">
        <v>7500</v>
      </c>
      <c r="M9" s="11" t="s">
        <v>28</v>
      </c>
      <c r="N9" s="12"/>
      <c r="O9" s="13" t="s">
        <v>29</v>
      </c>
    </row>
    <row r="10" spans="2:18" ht="15.75" thickBot="1" x14ac:dyDescent="0.3">
      <c r="B10" s="21">
        <v>6300</v>
      </c>
      <c r="C10" s="21">
        <v>8100</v>
      </c>
      <c r="E10" s="1"/>
      <c r="F10" s="39"/>
      <c r="G10" s="39"/>
      <c r="I10" s="2" t="s">
        <v>16</v>
      </c>
      <c r="J10" s="4">
        <v>233523.8095238095</v>
      </c>
      <c r="K10" s="6">
        <v>200000</v>
      </c>
      <c r="M10" s="14">
        <v>1.7</v>
      </c>
      <c r="N10" s="15" t="s">
        <v>31</v>
      </c>
      <c r="O10" s="16">
        <v>-10.62</v>
      </c>
    </row>
    <row r="11" spans="2:18" ht="15.75" thickBot="1" x14ac:dyDescent="0.3">
      <c r="B11" s="21">
        <v>5500</v>
      </c>
      <c r="C11" s="21">
        <v>7700</v>
      </c>
      <c r="E11" s="1"/>
      <c r="F11" s="39"/>
      <c r="G11" s="39"/>
      <c r="I11" s="2" t="s">
        <v>17</v>
      </c>
      <c r="J11" s="4">
        <v>15</v>
      </c>
      <c r="K11" s="6">
        <v>15</v>
      </c>
    </row>
    <row r="12" spans="2:18" ht="15.75" thickBot="1" x14ac:dyDescent="0.3">
      <c r="B12" s="21">
        <v>5900</v>
      </c>
      <c r="C12" s="21">
        <v>7300</v>
      </c>
      <c r="E12" s="1"/>
      <c r="I12" s="2" t="s">
        <v>39</v>
      </c>
      <c r="J12" s="4">
        <v>216761.90476190476</v>
      </c>
      <c r="K12" s="6"/>
      <c r="M12" s="32" t="s">
        <v>32</v>
      </c>
      <c r="N12" s="33"/>
      <c r="O12" s="33"/>
      <c r="P12" s="34"/>
    </row>
    <row r="13" spans="2:18" x14ac:dyDescent="0.25">
      <c r="B13" s="21">
        <v>5100</v>
      </c>
      <c r="C13" s="21">
        <v>7900</v>
      </c>
      <c r="E13" s="1" t="s">
        <v>9</v>
      </c>
      <c r="F13" s="39" t="s">
        <v>44</v>
      </c>
      <c r="G13" s="39"/>
      <c r="I13" s="2" t="s">
        <v>18</v>
      </c>
      <c r="J13" s="4">
        <v>0</v>
      </c>
      <c r="K13" s="6"/>
      <c r="M13" s="35" t="s">
        <v>41</v>
      </c>
      <c r="N13" s="36"/>
      <c r="O13" s="36"/>
      <c r="P13" s="37"/>
    </row>
    <row r="14" spans="2:18" x14ac:dyDescent="0.25">
      <c r="B14" s="21">
        <v>6200</v>
      </c>
      <c r="C14" s="21">
        <v>7600</v>
      </c>
      <c r="F14" s="39"/>
      <c r="G14" s="39"/>
      <c r="I14" s="2" t="s">
        <v>19</v>
      </c>
      <c r="J14" s="4">
        <v>28</v>
      </c>
      <c r="K14" s="6"/>
      <c r="M14" s="38"/>
      <c r="N14" s="39"/>
      <c r="O14" s="39"/>
      <c r="P14" s="40"/>
    </row>
    <row r="15" spans="2:18" x14ac:dyDescent="0.25">
      <c r="B15" s="21">
        <v>5800</v>
      </c>
      <c r="C15" s="21">
        <v>7000</v>
      </c>
      <c r="F15" s="39"/>
      <c r="G15" s="39"/>
      <c r="I15" s="2" t="s">
        <v>20</v>
      </c>
      <c r="J15" s="4">
        <v>-10.627159141725041</v>
      </c>
      <c r="K15" s="6"/>
      <c r="M15" s="38"/>
      <c r="N15" s="39"/>
      <c r="O15" s="39"/>
      <c r="P15" s="40"/>
    </row>
    <row r="16" spans="2:18" ht="15.75" thickBot="1" x14ac:dyDescent="0.3">
      <c r="B16" s="21">
        <v>5400</v>
      </c>
      <c r="C16" s="21">
        <v>8200</v>
      </c>
      <c r="I16" s="2" t="s">
        <v>21</v>
      </c>
      <c r="J16" s="4">
        <v>1.2356889851080947E-11</v>
      </c>
      <c r="K16" s="6"/>
      <c r="M16" s="41"/>
      <c r="N16" s="42"/>
      <c r="O16" s="42"/>
      <c r="P16" s="43"/>
    </row>
    <row r="17" spans="2:11" x14ac:dyDescent="0.25">
      <c r="B17" s="21">
        <v>6000</v>
      </c>
      <c r="C17" s="21">
        <v>7400</v>
      </c>
      <c r="I17" s="2" t="s">
        <v>22</v>
      </c>
      <c r="J17" s="4">
        <v>1.7011309342659326</v>
      </c>
      <c r="K17" s="6"/>
    </row>
    <row r="18" spans="2:11" x14ac:dyDescent="0.25">
      <c r="B18" s="21">
        <v>5600</v>
      </c>
      <c r="C18" s="21">
        <v>7800</v>
      </c>
      <c r="I18" s="2" t="s">
        <v>23</v>
      </c>
      <c r="J18" s="4">
        <v>2.4713779702161893E-11</v>
      </c>
      <c r="K18" s="6"/>
    </row>
    <row r="19" spans="2:11" ht="15.75" thickBot="1" x14ac:dyDescent="0.3">
      <c r="B19" s="21">
        <v>5300</v>
      </c>
      <c r="C19" s="21">
        <v>7100</v>
      </c>
      <c r="I19" s="3" t="s">
        <v>24</v>
      </c>
      <c r="J19" s="5">
        <v>2.0484071417952445</v>
      </c>
      <c r="K19" s="7"/>
    </row>
    <row r="20" spans="2:11" x14ac:dyDescent="0.25">
      <c r="B20" s="21">
        <v>6500</v>
      </c>
      <c r="C20" s="21">
        <v>8000</v>
      </c>
    </row>
  </sheetData>
  <mergeCells count="7">
    <mergeCell ref="B2:R3"/>
    <mergeCell ref="I6:K7"/>
    <mergeCell ref="M6:O6"/>
    <mergeCell ref="M12:P12"/>
    <mergeCell ref="M13:P16"/>
    <mergeCell ref="F9:G11"/>
    <mergeCell ref="F13:G1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9D949-F792-4818-AE6C-E803981E5708}">
  <dimension ref="A2:P18"/>
  <sheetViews>
    <sheetView workbookViewId="0">
      <selection activeCell="M19" sqref="M19"/>
    </sheetView>
  </sheetViews>
  <sheetFormatPr defaultRowHeight="15" x14ac:dyDescent="0.25"/>
  <cols>
    <col min="1" max="1" width="7.140625" customWidth="1"/>
    <col min="2" max="2" width="18.42578125" bestFit="1" customWidth="1"/>
    <col min="3" max="3" width="16.85546875" bestFit="1" customWidth="1"/>
    <col min="4" max="4" width="2.5703125" customWidth="1"/>
    <col min="8" max="8" width="3" customWidth="1"/>
    <col min="9" max="9" width="34.140625" bestFit="1" customWidth="1"/>
    <col min="10" max="10" width="18.5703125" bestFit="1" customWidth="1"/>
    <col min="11" max="11" width="17.140625" bestFit="1" customWidth="1"/>
    <col min="12" max="12" width="5" customWidth="1"/>
  </cols>
  <sheetData>
    <row r="2" spans="1:16" x14ac:dyDescent="0.25">
      <c r="A2" s="22" t="s">
        <v>2</v>
      </c>
      <c r="B2" s="22"/>
      <c r="C2" s="22"/>
      <c r="D2" s="22"/>
      <c r="E2" s="22"/>
      <c r="F2" s="22"/>
      <c r="G2" s="22"/>
      <c r="H2" s="22"/>
      <c r="I2" s="22"/>
      <c r="J2" s="22"/>
      <c r="K2" s="22"/>
      <c r="L2" s="22"/>
      <c r="M2" s="22"/>
      <c r="N2" s="22"/>
      <c r="O2" s="22"/>
      <c r="P2" s="22"/>
    </row>
    <row r="3" spans="1:16" x14ac:dyDescent="0.25">
      <c r="A3" s="22"/>
      <c r="B3" s="22"/>
      <c r="C3" s="22"/>
      <c r="D3" s="22"/>
      <c r="E3" s="22"/>
      <c r="F3" s="22"/>
      <c r="G3" s="22"/>
      <c r="H3" s="22"/>
      <c r="I3" s="22"/>
      <c r="J3" s="22"/>
      <c r="K3" s="22"/>
      <c r="L3" s="22"/>
      <c r="M3" s="22"/>
      <c r="N3" s="22"/>
      <c r="O3" s="22"/>
      <c r="P3" s="22"/>
    </row>
    <row r="4" spans="1:16" ht="15.75" thickBot="1" x14ac:dyDescent="0.3"/>
    <row r="5" spans="1:16" ht="15.75" thickBot="1" x14ac:dyDescent="0.3">
      <c r="A5" s="52" t="s">
        <v>45</v>
      </c>
      <c r="B5" s="53" t="s">
        <v>46</v>
      </c>
      <c r="C5" s="53" t="s">
        <v>47</v>
      </c>
      <c r="H5" t="s">
        <v>58</v>
      </c>
      <c r="I5" s="65" t="s">
        <v>59</v>
      </c>
      <c r="J5" s="66"/>
      <c r="K5" s="67"/>
      <c r="M5" s="29" t="s">
        <v>25</v>
      </c>
      <c r="N5" s="30"/>
      <c r="O5" s="31"/>
    </row>
    <row r="6" spans="1:16" ht="15.75" thickBot="1" x14ac:dyDescent="0.3">
      <c r="A6" s="54" t="s">
        <v>48</v>
      </c>
      <c r="B6" s="55">
        <v>5.2</v>
      </c>
      <c r="C6" s="55">
        <v>4.4000000000000004</v>
      </c>
      <c r="E6" s="1" t="s">
        <v>42</v>
      </c>
      <c r="F6" s="39" t="s">
        <v>62</v>
      </c>
      <c r="G6" s="39"/>
      <c r="I6" s="68"/>
      <c r="J6" s="69"/>
      <c r="K6" s="70"/>
      <c r="M6" s="17" t="s">
        <v>26</v>
      </c>
      <c r="N6" s="18"/>
      <c r="O6" s="19" t="s">
        <v>27</v>
      </c>
    </row>
    <row r="7" spans="1:16" ht="15.75" thickBot="1" x14ac:dyDescent="0.3">
      <c r="A7" s="54" t="s">
        <v>49</v>
      </c>
      <c r="B7" s="55">
        <v>6.1</v>
      </c>
      <c r="C7" s="55">
        <v>5</v>
      </c>
      <c r="E7" s="1"/>
      <c r="F7" s="39"/>
      <c r="G7" s="39"/>
      <c r="I7" s="60"/>
      <c r="J7" s="71" t="s">
        <v>46</v>
      </c>
      <c r="K7" s="72" t="s">
        <v>47</v>
      </c>
      <c r="M7" s="14">
        <v>0</v>
      </c>
      <c r="N7" s="15" t="s">
        <v>40</v>
      </c>
      <c r="O7" s="16">
        <v>0.05</v>
      </c>
    </row>
    <row r="8" spans="1:16" x14ac:dyDescent="0.25">
      <c r="A8" s="54" t="s">
        <v>50</v>
      </c>
      <c r="B8" s="55">
        <v>4.8</v>
      </c>
      <c r="C8" s="55">
        <v>4.0999999999999996</v>
      </c>
      <c r="E8" s="1"/>
      <c r="F8" s="39"/>
      <c r="G8" s="39"/>
      <c r="I8" s="56" t="s">
        <v>15</v>
      </c>
      <c r="J8" s="63">
        <v>5.95</v>
      </c>
      <c r="K8" s="57">
        <v>5.0100000000000007</v>
      </c>
      <c r="M8" s="11" t="s">
        <v>28</v>
      </c>
      <c r="N8" s="12"/>
      <c r="O8" s="13" t="s">
        <v>29</v>
      </c>
    </row>
    <row r="9" spans="1:16" ht="15.75" thickBot="1" x14ac:dyDescent="0.3">
      <c r="A9" s="54" t="s">
        <v>51</v>
      </c>
      <c r="B9" s="55">
        <v>7</v>
      </c>
      <c r="C9" s="55">
        <v>5.8</v>
      </c>
      <c r="E9" s="1"/>
      <c r="I9" s="56" t="s">
        <v>16</v>
      </c>
      <c r="J9" s="63">
        <v>0.72500000000000375</v>
      </c>
      <c r="K9" s="57">
        <v>0.43877777777777283</v>
      </c>
      <c r="M9" s="14">
        <v>1.83</v>
      </c>
      <c r="N9" s="15" t="s">
        <v>40</v>
      </c>
      <c r="O9" s="16">
        <v>12.56</v>
      </c>
    </row>
    <row r="10" spans="1:16" ht="15.75" customHeight="1" thickBot="1" x14ac:dyDescent="0.3">
      <c r="A10" s="54" t="s">
        <v>52</v>
      </c>
      <c r="B10" s="55">
        <v>5.5</v>
      </c>
      <c r="C10" s="55">
        <v>4.9000000000000004</v>
      </c>
      <c r="E10" s="1" t="s">
        <v>9</v>
      </c>
      <c r="F10" s="39" t="s">
        <v>63</v>
      </c>
      <c r="G10" s="39"/>
      <c r="I10" s="56" t="s">
        <v>17</v>
      </c>
      <c r="J10" s="63">
        <v>10</v>
      </c>
      <c r="K10" s="57">
        <v>10</v>
      </c>
    </row>
    <row r="11" spans="1:16" ht="15.75" thickBot="1" x14ac:dyDescent="0.3">
      <c r="A11" s="54" t="s">
        <v>53</v>
      </c>
      <c r="B11" s="55">
        <v>6.4</v>
      </c>
      <c r="C11" s="55">
        <v>5.3</v>
      </c>
      <c r="F11" s="39"/>
      <c r="G11" s="39"/>
      <c r="I11" s="56" t="s">
        <v>60</v>
      </c>
      <c r="J11" s="63">
        <v>0.98204488459745731</v>
      </c>
      <c r="K11" s="57"/>
      <c r="M11" s="32" t="s">
        <v>32</v>
      </c>
      <c r="N11" s="33"/>
      <c r="O11" s="33"/>
      <c r="P11" s="34"/>
    </row>
    <row r="12" spans="1:16" x14ac:dyDescent="0.25">
      <c r="A12" s="54" t="s">
        <v>54</v>
      </c>
      <c r="B12" s="55">
        <v>4.9000000000000004</v>
      </c>
      <c r="C12" s="55">
        <v>4.3</v>
      </c>
      <c r="F12" s="39"/>
      <c r="G12" s="39"/>
      <c r="I12" s="56" t="s">
        <v>18</v>
      </c>
      <c r="J12" s="63">
        <v>0</v>
      </c>
      <c r="K12" s="57"/>
      <c r="M12" s="35" t="s">
        <v>61</v>
      </c>
      <c r="N12" s="36"/>
      <c r="O12" s="36"/>
      <c r="P12" s="37"/>
    </row>
    <row r="13" spans="1:16" x14ac:dyDescent="0.25">
      <c r="A13" s="54" t="s">
        <v>55</v>
      </c>
      <c r="B13" s="55">
        <v>7.2</v>
      </c>
      <c r="C13" s="55">
        <v>6.1</v>
      </c>
      <c r="I13" s="56" t="s">
        <v>19</v>
      </c>
      <c r="J13" s="63">
        <v>9</v>
      </c>
      <c r="K13" s="57"/>
      <c r="M13" s="38"/>
      <c r="N13" s="39"/>
      <c r="O13" s="39"/>
      <c r="P13" s="40"/>
    </row>
    <row r="14" spans="1:16" x14ac:dyDescent="0.25">
      <c r="A14" s="54" t="s">
        <v>56</v>
      </c>
      <c r="B14" s="55">
        <v>5.8</v>
      </c>
      <c r="C14" s="55">
        <v>4.7</v>
      </c>
      <c r="I14" s="56" t="s">
        <v>20</v>
      </c>
      <c r="J14" s="63">
        <v>12.561278369883953</v>
      </c>
      <c r="K14" s="57"/>
      <c r="M14" s="38"/>
      <c r="N14" s="39"/>
      <c r="O14" s="39"/>
      <c r="P14" s="40"/>
    </row>
    <row r="15" spans="1:16" ht="15.75" thickBot="1" x14ac:dyDescent="0.3">
      <c r="A15" s="54" t="s">
        <v>57</v>
      </c>
      <c r="B15" s="55">
        <v>6.6</v>
      </c>
      <c r="C15" s="55">
        <v>5.5</v>
      </c>
      <c r="I15" s="56" t="s">
        <v>21</v>
      </c>
      <c r="J15" s="63">
        <v>2.6058114761320654E-7</v>
      </c>
      <c r="K15" s="57"/>
      <c r="M15" s="41"/>
      <c r="N15" s="42"/>
      <c r="O15" s="42"/>
      <c r="P15" s="43"/>
    </row>
    <row r="16" spans="1:16" x14ac:dyDescent="0.25">
      <c r="I16" s="56" t="s">
        <v>22</v>
      </c>
      <c r="J16" s="63">
        <v>1.8331129326562374</v>
      </c>
      <c r="K16" s="57"/>
    </row>
    <row r="17" spans="9:11" x14ac:dyDescent="0.25">
      <c r="I17" s="56" t="s">
        <v>23</v>
      </c>
      <c r="J17" s="63">
        <v>5.2116229522641307E-7</v>
      </c>
      <c r="K17" s="57"/>
    </row>
    <row r="18" spans="9:11" ht="15.75" thickBot="1" x14ac:dyDescent="0.3">
      <c r="I18" s="58" t="s">
        <v>24</v>
      </c>
      <c r="J18" s="64">
        <v>2.2621571627982053</v>
      </c>
      <c r="K18" s="59"/>
    </row>
  </sheetData>
  <mergeCells count="7">
    <mergeCell ref="A2:P3"/>
    <mergeCell ref="I5:K6"/>
    <mergeCell ref="M5:O5"/>
    <mergeCell ref="M11:P11"/>
    <mergeCell ref="M12:P15"/>
    <mergeCell ref="F6:G8"/>
    <mergeCell ref="F10:G1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567A2-8D61-4D47-9197-5E4CBBD6C4F0}">
  <dimension ref="A2:P20"/>
  <sheetViews>
    <sheetView workbookViewId="0">
      <selection activeCell="M17" sqref="M17"/>
    </sheetView>
  </sheetViews>
  <sheetFormatPr defaultRowHeight="15" x14ac:dyDescent="0.25"/>
  <cols>
    <col min="1" max="1" width="5.140625" bestFit="1" customWidth="1"/>
    <col min="2" max="2" width="7.7109375" bestFit="1" customWidth="1"/>
    <col min="3" max="3" width="7.140625" bestFit="1" customWidth="1"/>
    <col min="9" max="9" width="45.140625" bestFit="1" customWidth="1"/>
    <col min="10" max="11" width="12" bestFit="1" customWidth="1"/>
  </cols>
  <sheetData>
    <row r="2" spans="1:16" x14ac:dyDescent="0.25">
      <c r="A2" s="22" t="s">
        <v>3</v>
      </c>
      <c r="B2" s="22"/>
      <c r="C2" s="22"/>
      <c r="D2" s="22"/>
      <c r="E2" s="22"/>
      <c r="F2" s="22"/>
      <c r="G2" s="22"/>
      <c r="H2" s="22"/>
      <c r="I2" s="22"/>
      <c r="J2" s="22"/>
      <c r="K2" s="22"/>
      <c r="L2" s="22"/>
      <c r="M2" s="22"/>
      <c r="N2" s="22"/>
      <c r="O2" s="22"/>
      <c r="P2" s="22"/>
    </row>
    <row r="3" spans="1:16" x14ac:dyDescent="0.25">
      <c r="A3" s="22"/>
      <c r="B3" s="22"/>
      <c r="C3" s="22"/>
      <c r="D3" s="22"/>
      <c r="E3" s="22"/>
      <c r="F3" s="22"/>
      <c r="G3" s="22"/>
      <c r="H3" s="22"/>
      <c r="I3" s="22"/>
      <c r="J3" s="22"/>
      <c r="K3" s="22"/>
      <c r="L3" s="22"/>
      <c r="M3" s="22"/>
      <c r="N3" s="22"/>
      <c r="O3" s="22"/>
      <c r="P3" s="22"/>
    </row>
    <row r="4" spans="1:16" ht="15.75" thickBot="1" x14ac:dyDescent="0.3"/>
    <row r="5" spans="1:16" ht="15.75" thickBot="1" x14ac:dyDescent="0.3">
      <c r="A5" s="73" t="s">
        <v>45</v>
      </c>
      <c r="B5" s="74" t="s">
        <v>64</v>
      </c>
      <c r="C5" s="74" t="s">
        <v>65</v>
      </c>
      <c r="I5" s="77" t="s">
        <v>30</v>
      </c>
      <c r="J5" s="78"/>
      <c r="K5" s="79"/>
      <c r="M5" s="29" t="s">
        <v>25</v>
      </c>
      <c r="N5" s="30"/>
      <c r="O5" s="31"/>
    </row>
    <row r="6" spans="1:16" ht="15.75" thickBot="1" x14ac:dyDescent="0.3">
      <c r="A6" s="75">
        <v>1</v>
      </c>
      <c r="B6" s="76">
        <v>4.2</v>
      </c>
      <c r="C6" s="76">
        <v>4</v>
      </c>
      <c r="E6" s="1" t="s">
        <v>42</v>
      </c>
      <c r="F6" s="39" t="s">
        <v>66</v>
      </c>
      <c r="G6" s="39"/>
      <c r="I6" s="80"/>
      <c r="J6" s="81"/>
      <c r="K6" s="82"/>
      <c r="M6" s="17" t="s">
        <v>26</v>
      </c>
      <c r="N6" s="18"/>
      <c r="O6" s="19" t="s">
        <v>27</v>
      </c>
    </row>
    <row r="7" spans="1:16" ht="15.75" thickBot="1" x14ac:dyDescent="0.3">
      <c r="A7" s="75">
        <v>2</v>
      </c>
      <c r="B7" s="76">
        <v>4.5</v>
      </c>
      <c r="C7" s="76">
        <v>4.0999999999999996</v>
      </c>
      <c r="E7" s="1"/>
      <c r="F7" s="39"/>
      <c r="G7" s="39"/>
      <c r="I7" s="60"/>
      <c r="J7" s="62" t="s">
        <v>64</v>
      </c>
      <c r="K7" s="61" t="s">
        <v>65</v>
      </c>
      <c r="M7" s="14">
        <v>0.21</v>
      </c>
      <c r="N7" s="15" t="s">
        <v>40</v>
      </c>
      <c r="O7" s="16">
        <v>0.05</v>
      </c>
    </row>
    <row r="8" spans="1:16" x14ac:dyDescent="0.25">
      <c r="A8" s="75">
        <v>3</v>
      </c>
      <c r="B8" s="76">
        <v>3.8</v>
      </c>
      <c r="C8" s="76">
        <v>4.3</v>
      </c>
      <c r="E8" s="1"/>
      <c r="F8" s="39"/>
      <c r="G8" s="39"/>
      <c r="I8" s="56" t="s">
        <v>15</v>
      </c>
      <c r="J8" s="63">
        <v>4.2666666666666666</v>
      </c>
      <c r="K8" s="57">
        <v>4.1533333333333324</v>
      </c>
      <c r="M8" s="11" t="s">
        <v>28</v>
      </c>
      <c r="N8" s="12"/>
      <c r="O8" s="13" t="s">
        <v>29</v>
      </c>
    </row>
    <row r="9" spans="1:16" ht="15.75" thickBot="1" x14ac:dyDescent="0.3">
      <c r="A9" s="75">
        <v>4</v>
      </c>
      <c r="B9" s="76">
        <v>4.0999999999999996</v>
      </c>
      <c r="C9" s="76">
        <v>3.9</v>
      </c>
      <c r="E9" s="1"/>
      <c r="F9" s="39"/>
      <c r="G9" s="39"/>
      <c r="I9" s="56" t="s">
        <v>16</v>
      </c>
      <c r="J9" s="63">
        <v>7.809523809523812E-2</v>
      </c>
      <c r="K9" s="57">
        <v>3.980952380952385E-2</v>
      </c>
      <c r="M9" s="14">
        <v>2.06</v>
      </c>
      <c r="N9" s="15" t="s">
        <v>31</v>
      </c>
      <c r="O9" s="16">
        <v>1.28</v>
      </c>
    </row>
    <row r="10" spans="1:16" ht="15.75" thickBot="1" x14ac:dyDescent="0.3">
      <c r="A10" s="75">
        <v>5</v>
      </c>
      <c r="B10" s="76">
        <v>4.5999999999999996</v>
      </c>
      <c r="C10" s="76">
        <v>4.4000000000000004</v>
      </c>
      <c r="E10" s="1" t="s">
        <v>9</v>
      </c>
      <c r="F10" s="39" t="s">
        <v>67</v>
      </c>
      <c r="G10" s="39"/>
      <c r="I10" s="56" t="s">
        <v>17</v>
      </c>
      <c r="J10" s="63">
        <v>15</v>
      </c>
      <c r="K10" s="57">
        <v>15</v>
      </c>
    </row>
    <row r="11" spans="1:16" ht="15.75" thickBot="1" x14ac:dyDescent="0.3">
      <c r="A11" s="75">
        <v>6</v>
      </c>
      <c r="B11" s="76">
        <v>4</v>
      </c>
      <c r="C11" s="76">
        <v>4.2</v>
      </c>
      <c r="F11" s="39"/>
      <c r="G11" s="39"/>
      <c r="I11" s="56" t="s">
        <v>18</v>
      </c>
      <c r="J11" s="63">
        <v>0</v>
      </c>
      <c r="K11" s="57"/>
      <c r="M11" s="32" t="s">
        <v>32</v>
      </c>
      <c r="N11" s="33"/>
      <c r="O11" s="33"/>
      <c r="P11" s="34"/>
    </row>
    <row r="12" spans="1:16" x14ac:dyDescent="0.25">
      <c r="A12" s="75">
        <v>7</v>
      </c>
      <c r="B12" s="76">
        <v>4.3</v>
      </c>
      <c r="C12" s="76">
        <v>4</v>
      </c>
      <c r="F12" s="39"/>
      <c r="G12" s="39"/>
      <c r="I12" s="56" t="s">
        <v>19</v>
      </c>
      <c r="J12" s="63">
        <v>25</v>
      </c>
      <c r="K12" s="57"/>
      <c r="M12" s="35" t="s">
        <v>68</v>
      </c>
      <c r="N12" s="36"/>
      <c r="O12" s="36"/>
      <c r="P12" s="37"/>
    </row>
    <row r="13" spans="1:16" x14ac:dyDescent="0.25">
      <c r="A13" s="75">
        <v>8</v>
      </c>
      <c r="B13" s="76">
        <v>3.9</v>
      </c>
      <c r="C13" s="76">
        <v>4.0999999999999996</v>
      </c>
      <c r="F13" s="39"/>
      <c r="G13" s="39"/>
      <c r="I13" s="56" t="s">
        <v>20</v>
      </c>
      <c r="J13" s="63">
        <v>1.2783142170373563</v>
      </c>
      <c r="K13" s="57"/>
      <c r="M13" s="38"/>
      <c r="N13" s="39"/>
      <c r="O13" s="39"/>
      <c r="P13" s="40"/>
    </row>
    <row r="14" spans="1:16" x14ac:dyDescent="0.25">
      <c r="A14" s="75">
        <v>9</v>
      </c>
      <c r="B14" s="76">
        <v>4.4000000000000004</v>
      </c>
      <c r="C14" s="76">
        <v>4.3</v>
      </c>
      <c r="I14" s="56" t="s">
        <v>21</v>
      </c>
      <c r="J14" s="63">
        <v>0.10643991159364601</v>
      </c>
      <c r="K14" s="57"/>
      <c r="M14" s="38"/>
      <c r="N14" s="39"/>
      <c r="O14" s="39"/>
      <c r="P14" s="40"/>
    </row>
    <row r="15" spans="1:16" ht="15.75" thickBot="1" x14ac:dyDescent="0.3">
      <c r="A15" s="75">
        <v>10</v>
      </c>
      <c r="B15" s="76">
        <v>4.7</v>
      </c>
      <c r="C15" s="76">
        <v>4.5</v>
      </c>
      <c r="I15" s="56" t="s">
        <v>22</v>
      </c>
      <c r="J15" s="63">
        <v>1.7081407612518986</v>
      </c>
      <c r="K15" s="57"/>
      <c r="M15" s="41"/>
      <c r="N15" s="42"/>
      <c r="O15" s="42"/>
      <c r="P15" s="43"/>
    </row>
    <row r="16" spans="1:16" x14ac:dyDescent="0.25">
      <c r="A16" s="75">
        <v>11</v>
      </c>
      <c r="B16" s="76">
        <v>4.0999999999999996</v>
      </c>
      <c r="C16" s="76">
        <v>4</v>
      </c>
      <c r="I16" s="56" t="s">
        <v>23</v>
      </c>
      <c r="J16" s="63">
        <v>0.21287982318729201</v>
      </c>
      <c r="K16" s="57"/>
    </row>
    <row r="17" spans="1:11" ht="15.75" thickBot="1" x14ac:dyDescent="0.3">
      <c r="A17" s="75">
        <v>12</v>
      </c>
      <c r="B17" s="76">
        <v>4.5</v>
      </c>
      <c r="C17" s="76">
        <v>4.2</v>
      </c>
      <c r="I17" s="58" t="s">
        <v>24</v>
      </c>
      <c r="J17" s="64">
        <v>2.0595385527532977</v>
      </c>
      <c r="K17" s="59"/>
    </row>
    <row r="18" spans="1:11" x14ac:dyDescent="0.25">
      <c r="A18" s="75">
        <v>13</v>
      </c>
      <c r="B18" s="76">
        <v>4</v>
      </c>
      <c r="C18" s="76">
        <v>3.8</v>
      </c>
    </row>
    <row r="19" spans="1:11" x14ac:dyDescent="0.25">
      <c r="A19" s="75">
        <v>14</v>
      </c>
      <c r="B19" s="76">
        <v>4.3</v>
      </c>
      <c r="C19" s="76">
        <v>4.4000000000000004</v>
      </c>
    </row>
    <row r="20" spans="1:11" x14ac:dyDescent="0.25">
      <c r="A20" s="75">
        <v>15</v>
      </c>
      <c r="B20" s="76">
        <v>4.5999999999999996</v>
      </c>
      <c r="C20" s="76">
        <v>4.0999999999999996</v>
      </c>
    </row>
  </sheetData>
  <mergeCells count="7">
    <mergeCell ref="A2:P3"/>
    <mergeCell ref="F6:G9"/>
    <mergeCell ref="F10:G13"/>
    <mergeCell ref="I5:K6"/>
    <mergeCell ref="M5:O5"/>
    <mergeCell ref="M11:P11"/>
    <mergeCell ref="M12:P1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8D79E-74A6-452B-99D9-7445CDAE66A3}">
  <dimension ref="B2:S20"/>
  <sheetViews>
    <sheetView tabSelected="1" topLeftCell="B1" workbookViewId="0">
      <selection activeCell="J16" sqref="J16"/>
    </sheetView>
  </sheetViews>
  <sheetFormatPr defaultRowHeight="15" x14ac:dyDescent="0.25"/>
  <cols>
    <col min="2" max="2" width="7.42578125" bestFit="1" customWidth="1"/>
    <col min="3" max="3" width="20.7109375" bestFit="1" customWidth="1"/>
  </cols>
  <sheetData>
    <row r="2" spans="2:19" x14ac:dyDescent="0.25">
      <c r="B2" s="22" t="s">
        <v>4</v>
      </c>
      <c r="C2" s="22"/>
      <c r="D2" s="22"/>
      <c r="E2" s="22"/>
      <c r="F2" s="22"/>
      <c r="G2" s="22"/>
      <c r="H2" s="22"/>
      <c r="I2" s="22"/>
      <c r="J2" s="22"/>
      <c r="K2" s="22"/>
      <c r="L2" s="22"/>
      <c r="M2" s="22"/>
      <c r="N2" s="22"/>
      <c r="O2" s="22"/>
      <c r="P2" s="22"/>
      <c r="Q2" s="22"/>
      <c r="R2" s="22"/>
    </row>
    <row r="3" spans="2:19" x14ac:dyDescent="0.25">
      <c r="B3" s="22"/>
      <c r="C3" s="22"/>
      <c r="D3" s="22"/>
      <c r="E3" s="22"/>
      <c r="F3" s="22"/>
      <c r="G3" s="22"/>
      <c r="H3" s="22"/>
      <c r="I3" s="22"/>
      <c r="J3" s="22"/>
      <c r="K3" s="22"/>
      <c r="L3" s="22"/>
      <c r="M3" s="22"/>
      <c r="N3" s="22"/>
      <c r="O3" s="22"/>
      <c r="P3" s="22"/>
      <c r="Q3" s="22"/>
      <c r="R3" s="22"/>
    </row>
    <row r="5" spans="2:19" ht="15.75" thickBot="1" x14ac:dyDescent="0.3"/>
    <row r="6" spans="2:19" ht="21.75" thickBot="1" x14ac:dyDescent="0.4">
      <c r="B6" s="83" t="s">
        <v>75</v>
      </c>
      <c r="C6" s="84"/>
      <c r="D6" s="84"/>
      <c r="E6" s="84"/>
      <c r="F6" s="84"/>
      <c r="G6" s="84"/>
      <c r="H6" s="85"/>
      <c r="J6" s="83" t="s">
        <v>74</v>
      </c>
      <c r="K6" s="84"/>
      <c r="L6" s="84"/>
      <c r="M6" s="84"/>
      <c r="N6" s="84"/>
      <c r="O6" s="84"/>
      <c r="P6" s="84"/>
      <c r="Q6" s="84"/>
      <c r="R6" s="84"/>
      <c r="S6" s="84"/>
    </row>
    <row r="7" spans="2:19" ht="16.5" thickBot="1" x14ac:dyDescent="0.3">
      <c r="B7" s="51"/>
      <c r="C7" s="21"/>
      <c r="J7" s="86" t="s">
        <v>69</v>
      </c>
      <c r="K7" s="87"/>
      <c r="L7" s="87"/>
      <c r="M7" s="87"/>
      <c r="N7" s="87"/>
      <c r="O7" s="87"/>
      <c r="P7" s="87"/>
      <c r="Q7" s="87"/>
      <c r="R7" s="87"/>
      <c r="S7" s="87"/>
    </row>
    <row r="8" spans="2:19" ht="16.5" thickBot="1" x14ac:dyDescent="0.3">
      <c r="B8" s="51"/>
      <c r="C8" s="21"/>
      <c r="J8" s="86" t="s">
        <v>70</v>
      </c>
      <c r="K8" s="87"/>
      <c r="L8" s="87"/>
      <c r="M8" s="87"/>
      <c r="N8" s="87"/>
      <c r="O8" s="87"/>
      <c r="P8" s="87"/>
      <c r="Q8" s="87"/>
      <c r="R8" s="87"/>
      <c r="S8" s="87"/>
    </row>
    <row r="9" spans="2:19" ht="16.5" thickBot="1" x14ac:dyDescent="0.3">
      <c r="B9" s="51"/>
      <c r="C9" s="21"/>
      <c r="J9" s="86" t="s">
        <v>71</v>
      </c>
      <c r="K9" s="87"/>
      <c r="L9" s="87"/>
      <c r="M9" s="87"/>
      <c r="N9" s="87"/>
      <c r="O9" s="87"/>
      <c r="P9" s="87"/>
      <c r="Q9" s="87"/>
      <c r="R9" s="87"/>
      <c r="S9" s="87"/>
    </row>
    <row r="10" spans="2:19" ht="16.5" thickBot="1" x14ac:dyDescent="0.3">
      <c r="B10" s="51"/>
      <c r="C10" s="21"/>
      <c r="J10" s="86"/>
      <c r="K10" s="87"/>
      <c r="L10" s="87"/>
      <c r="M10" s="87"/>
      <c r="N10" s="87"/>
      <c r="O10" s="87"/>
      <c r="P10" s="87"/>
      <c r="Q10" s="87"/>
      <c r="R10" s="87"/>
      <c r="S10" s="87"/>
    </row>
    <row r="11" spans="2:19" ht="16.5" thickBot="1" x14ac:dyDescent="0.3">
      <c r="B11" s="51"/>
      <c r="C11" s="21"/>
      <c r="J11" s="86" t="s">
        <v>72</v>
      </c>
      <c r="K11" s="87"/>
      <c r="L11" s="87"/>
      <c r="M11" s="87"/>
      <c r="N11" s="87"/>
      <c r="O11" s="87"/>
      <c r="P11" s="87"/>
      <c r="Q11" s="87"/>
      <c r="R11" s="87"/>
      <c r="S11" s="87"/>
    </row>
    <row r="12" spans="2:19" ht="16.5" thickBot="1" x14ac:dyDescent="0.3">
      <c r="B12" s="51"/>
      <c r="C12" s="21"/>
      <c r="J12" s="86" t="s">
        <v>73</v>
      </c>
      <c r="K12" s="87"/>
      <c r="L12" s="87"/>
      <c r="M12" s="87"/>
      <c r="N12" s="87"/>
      <c r="O12" s="87"/>
      <c r="P12" s="87"/>
      <c r="Q12" s="87"/>
      <c r="R12" s="87"/>
      <c r="S12" s="87"/>
    </row>
    <row r="13" spans="2:19" x14ac:dyDescent="0.25">
      <c r="B13" s="51"/>
      <c r="C13" s="21"/>
    </row>
    <row r="14" spans="2:19" x14ac:dyDescent="0.25">
      <c r="B14" s="51"/>
      <c r="C14" s="21"/>
    </row>
    <row r="15" spans="2:19" x14ac:dyDescent="0.25">
      <c r="B15" s="51"/>
      <c r="C15" s="21"/>
    </row>
    <row r="16" spans="2:19" x14ac:dyDescent="0.25">
      <c r="B16" s="51"/>
      <c r="C16" s="21"/>
    </row>
    <row r="17" spans="2:3" x14ac:dyDescent="0.25">
      <c r="B17" s="51"/>
      <c r="C17" s="21"/>
    </row>
    <row r="18" spans="2:3" x14ac:dyDescent="0.25">
      <c r="B18" s="51"/>
      <c r="C18" s="21"/>
    </row>
    <row r="19" spans="2:3" x14ac:dyDescent="0.25">
      <c r="B19" s="51"/>
      <c r="C19" s="21"/>
    </row>
    <row r="20" spans="2:3" x14ac:dyDescent="0.25">
      <c r="B20" s="51"/>
      <c r="C20" s="21"/>
    </row>
  </sheetData>
  <mergeCells count="9">
    <mergeCell ref="B2:R3"/>
    <mergeCell ref="B6:H6"/>
    <mergeCell ref="J7:S7"/>
    <mergeCell ref="J6:S6"/>
    <mergeCell ref="J12:S12"/>
    <mergeCell ref="J11:S11"/>
    <mergeCell ref="J10:S10"/>
    <mergeCell ref="J9:S9"/>
    <mergeCell ref="J8:S8"/>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vt:lpstr>
      <vt:lpstr>2</vt:lpstr>
      <vt:lpstr>3</vt:lpstr>
      <vt:lpstr>4</vt:lpstr>
      <vt:lpstr>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2015-06-05T18:17:20Z</dcterms:created>
  <dcterms:modified xsi:type="dcterms:W3CDTF">2026-09-04T19:05:45Z</dcterms:modified>
</cp:coreProperties>
</file>