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admin\Desktop\TOP TECHS\data anaylitics\STATS\ASSINGNMENT\"/>
    </mc:Choice>
  </mc:AlternateContent>
  <xr:revisionPtr revIDLastSave="0" documentId="13_ncr:1_{29CA8AB1-5814-4344-94CC-595818B8BE60}" xr6:coauthVersionLast="47" xr6:coauthVersionMax="47" xr10:uidLastSave="{00000000-0000-0000-0000-000000000000}"/>
  <bookViews>
    <workbookView xWindow="-120" yWindow="-120" windowWidth="20730" windowHeight="11160" activeTab="4" xr2:uid="{00000000-000D-0000-FFFF-FFFF00000000}"/>
  </bookViews>
  <sheets>
    <sheet name="1" sheetId="1" r:id="rId1"/>
    <sheet name="2" sheetId="2" r:id="rId2"/>
    <sheet name="3" sheetId="3" r:id="rId3"/>
    <sheet name="4" sheetId="4" r:id="rId4"/>
    <sheet name="5"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6" i="5" l="1"/>
  <c r="G8" i="5"/>
  <c r="G7" i="5"/>
  <c r="E9" i="4"/>
  <c r="E8" i="4"/>
  <c r="E7" i="4"/>
  <c r="E8" i="3"/>
  <c r="E7" i="3"/>
  <c r="E6" i="3"/>
  <c r="F8" i="2"/>
  <c r="F9" i="2"/>
  <c r="E7" i="1"/>
</calcChain>
</file>

<file path=xl/sharedStrings.xml><?xml version="1.0" encoding="utf-8"?>
<sst xmlns="http://schemas.openxmlformats.org/spreadsheetml/2006/main" count="38" uniqueCount="32">
  <si>
    <t>Given the daily step counts of a user for the last 7 days as [6500, 7200, 8000, 6000, 9000, 7500, 8200], calculate the range of steps and explain what this tells you about the user's activity pattern.</t>
  </si>
  <si>
    <t>Steps</t>
  </si>
  <si>
    <t>RESULT:</t>
  </si>
  <si>
    <t>Range</t>
  </si>
  <si>
    <t>This tells us that the user's daily activity varied by 3,000 steps between their least and most active days. Overall, the user is fairly active, but their activity level changes noticeably from day to day.</t>
  </si>
  <si>
    <t>For a list of 5 food delivery order amounts on Zomato: [250, 400, 350, 300, 500], write code to compute the variance and standard deviation of the order amounts.</t>
  </si>
  <si>
    <t>Amounts</t>
  </si>
  <si>
    <t>Variance</t>
  </si>
  <si>
    <t>Standard Deviation</t>
  </si>
  <si>
    <t xml:space="preserve">For computing Variance of given data we need to use the VAR.P(select data) Function and press enter to get result </t>
  </si>
  <si>
    <t xml:space="preserve">For computing Standard Deviation of given data we need to use the STDEV.P(select data) Function and press enter to get result </t>
  </si>
  <si>
    <t>You have the monthly mobile data usage (in GB) for a user over 6 months: [3.2, 2.8, 3.5, 3.0, 2.9, 3.1]. Calculate the coefficient of variation (CV) and interpret whether the user's data usage is consistent or highly variable.&lt;br&gt;&lt;br&gt;&lt;em&gt;&lt;strong&gt;Hint:&lt;/strong&gt; CV = (Standard Deviation / Mean) × 100%&lt;/em&gt;</t>
  </si>
  <si>
    <t>Data Usage (in GB)</t>
  </si>
  <si>
    <t xml:space="preserve">Mean </t>
  </si>
  <si>
    <t>Std. Deviation</t>
  </si>
  <si>
    <t>CV</t>
  </si>
  <si>
    <r>
      <t xml:space="preserve">Interpretation                                                                                                                                                       </t>
    </r>
    <r>
      <rPr>
        <sz val="13.5"/>
        <color theme="1"/>
        <rFont val="Calibri"/>
        <family val="2"/>
        <scheme val="minor"/>
      </rPr>
      <t>CV ≈ 7.36%, which is low.                                                                                                                           This means the user's monthly mobile data usage is quite consistent, with relatively little variation from month to month. It is not highly variable.</t>
    </r>
  </si>
  <si>
    <t>Suppose you are analyzing the number of likes on 10 recent Instagram posts: [120, 150, 130, 110, 170, 140, 135, 160, 125, 155]. Compute the standard deviation and compare it with the mean to comment on the consistency of engagement.</t>
  </si>
  <si>
    <t>NO. of Likes</t>
  </si>
  <si>
    <t>Mean</t>
  </si>
  <si>
    <r>
      <t xml:space="preserve">Interpretation                                                                                                                                                 </t>
    </r>
    <r>
      <rPr>
        <sz val="13.5"/>
        <color theme="1"/>
        <rFont val="Calibri"/>
        <family val="2"/>
        <scheme val="minor"/>
      </rPr>
      <t xml:space="preserve">  A CV of about 13.17% indicates that the number of likes is fairly consistent across the 10 posts. Engagement varies somewhat, but there is no very large fluctuation.</t>
    </r>
  </si>
  <si>
    <t>Use ChatGPT or any AI tool to generate a small dataset (at least 8 values) representing daily UPI transaction amounts for a week. Then, calculate the variance and standard deviation of the generated data, and briefly interpret what the results mean for spending stability.</t>
  </si>
  <si>
    <t>Day</t>
  </si>
  <si>
    <t>Daily UPI Transaction Amount (₹)</t>
  </si>
  <si>
    <t>Monday</t>
  </si>
  <si>
    <t>Tuesday</t>
  </si>
  <si>
    <t>Wednesday</t>
  </si>
  <si>
    <t>Thursday</t>
  </si>
  <si>
    <t>Friday</t>
  </si>
  <si>
    <t>Saturday</t>
  </si>
  <si>
    <t>Sunday</t>
  </si>
  <si>
    <r>
      <t xml:space="preserve">Interpretation                                                                                                                                                                             </t>
    </r>
    <r>
      <rPr>
        <sz val="13"/>
        <color theme="1"/>
        <rFont val="Calibri"/>
        <family val="2"/>
        <scheme val="minor"/>
      </rPr>
      <t>The average daily UPI transaction amount is ₹1.55Cr and the standard deviation is approximately ₹0.21Cr.</t>
    </r>
    <r>
      <rPr>
        <b/>
        <sz val="13"/>
        <color theme="1"/>
        <rFont val="Calibri"/>
        <family val="2"/>
        <scheme val="minor"/>
      </rPr>
      <t xml:space="preserve">                                                                                                                                                                                         </t>
    </r>
    <r>
      <rPr>
        <sz val="13"/>
        <color theme="1"/>
        <rFont val="Calibri"/>
        <family val="2"/>
        <scheme val="minor"/>
      </rPr>
      <t>This indicates that daily transactions vary by around ₹0.21Cr from the average. Therefore, the transaction amounts show moderate variation, but the overall spending pattern is reasonably stable.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</si>
</sst>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quot;₹&quot;\ #,##0"/>
  </numFmts>
  <fonts count="9" x14ac:knownFonts="1">
    <font>
      <sz val="11"/>
      <color theme="1"/>
      <name val="Calibri"/>
      <family val="2"/>
      <scheme val="minor"/>
    </font>
    <font>
      <b/>
      <sz val="11"/>
      <color theme="1"/>
      <name val="Calibri"/>
      <family val="2"/>
      <scheme val="minor"/>
    </font>
    <font>
      <b/>
      <sz val="9"/>
      <color rgb="FF878A99"/>
      <name val="Segoe UI"/>
      <family val="2"/>
    </font>
    <font>
      <sz val="11"/>
      <color theme="1"/>
      <name val="Calibri"/>
      <family val="2"/>
      <scheme val="minor"/>
    </font>
    <font>
      <b/>
      <sz val="13.5"/>
      <color theme="1"/>
      <name val="Calibri"/>
      <family val="2"/>
      <scheme val="minor"/>
    </font>
    <font>
      <sz val="13.5"/>
      <color theme="1"/>
      <name val="Calibri"/>
      <family val="2"/>
      <scheme val="minor"/>
    </font>
    <font>
      <sz val="9"/>
      <color rgb="FF878A99"/>
      <name val="Segoe UI"/>
      <family val="2"/>
    </font>
    <font>
      <b/>
      <sz val="13"/>
      <color theme="1"/>
      <name val="Calibri"/>
      <family val="2"/>
      <scheme val="minor"/>
    </font>
    <font>
      <sz val="13"/>
      <color theme="1"/>
      <name val="Calibri"/>
      <family val="2"/>
      <scheme val="minor"/>
    </font>
  </fonts>
  <fills count="3">
    <fill>
      <patternFill patternType="none"/>
    </fill>
    <fill>
      <patternFill patternType="gray125"/>
    </fill>
    <fill>
      <patternFill patternType="solid">
        <fgColor theme="7" tint="0.59999389629810485"/>
        <bgColor indexed="64"/>
      </patternFill>
    </fill>
  </fills>
  <borders count="2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9" fontId="3" fillId="0" borderId="0" applyFont="0" applyFill="0" applyBorder="0" applyAlignment="0" applyProtection="0"/>
  </cellStyleXfs>
  <cellXfs count="96">
    <xf numFmtId="0" fontId="0" fillId="0" borderId="0" xfId="0"/>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 xfId="0" applyBorder="1" applyAlignment="1">
      <alignment horizontal="center" vertical="center"/>
    </xf>
    <xf numFmtId="0" fontId="0" fillId="0" borderId="15" xfId="0" applyBorder="1"/>
    <xf numFmtId="0" fontId="1" fillId="0" borderId="1" xfId="0" applyFont="1" applyBorder="1"/>
    <xf numFmtId="0" fontId="0" fillId="0" borderId="1" xfId="0" applyBorder="1"/>
    <xf numFmtId="165" fontId="0" fillId="0" borderId="10" xfId="0" applyNumberFormat="1" applyBorder="1" applyAlignment="1">
      <alignment horizontal="center"/>
    </xf>
    <xf numFmtId="165" fontId="0" fillId="0" borderId="11" xfId="0" applyNumberFormat="1" applyBorder="1" applyAlignment="1">
      <alignment horizontal="center"/>
    </xf>
    <xf numFmtId="165" fontId="0" fillId="0" borderId="12" xfId="0" applyNumberFormat="1" applyBorder="1" applyAlignment="1">
      <alignment horizontal="center"/>
    </xf>
    <xf numFmtId="0" fontId="1" fillId="0" borderId="1" xfId="0" applyFont="1" applyBorder="1" applyAlignment="1">
      <alignment horizontal="center"/>
    </xf>
    <xf numFmtId="0" fontId="1" fillId="0" borderId="8" xfId="0" applyFont="1" applyBorder="1"/>
    <xf numFmtId="0" fontId="0" fillId="0" borderId="9" xfId="0" applyBorder="1"/>
    <xf numFmtId="164" fontId="0" fillId="0" borderId="9" xfId="0" applyNumberFormat="1" applyBorder="1"/>
    <xf numFmtId="164" fontId="0" fillId="0" borderId="1" xfId="0" applyNumberFormat="1" applyBorder="1"/>
    <xf numFmtId="2" fontId="0" fillId="0" borderId="10" xfId="0" applyNumberFormat="1" applyBorder="1" applyAlignment="1">
      <alignment horizontal="center"/>
    </xf>
    <xf numFmtId="2" fontId="0" fillId="0" borderId="11" xfId="0" applyNumberFormat="1" applyBorder="1" applyAlignment="1">
      <alignment horizontal="center"/>
    </xf>
    <xf numFmtId="2" fontId="0" fillId="0" borderId="12" xfId="0" applyNumberFormat="1" applyBorder="1" applyAlignment="1">
      <alignment horizontal="center"/>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xf numFmtId="0" fontId="2" fillId="0" borderId="5" xfId="0" applyFont="1" applyBorder="1" applyAlignment="1">
      <alignment horizontal="left" vertical="center" wrapText="1"/>
    </xf>
    <xf numFmtId="0" fontId="2" fillId="0" borderId="6" xfId="0" applyFont="1" applyBorder="1" applyAlignment="1">
      <alignment horizontal="left" vertical="center" wrapText="1"/>
    </xf>
    <xf numFmtId="0" fontId="2" fillId="0" borderId="7" xfId="0" applyFont="1" applyBorder="1" applyAlignment="1">
      <alignment horizontal="left"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0" fillId="0" borderId="2" xfId="0" applyBorder="1" applyAlignment="1">
      <alignment wrapText="1"/>
    </xf>
    <xf numFmtId="0" fontId="0" fillId="0" borderId="3" xfId="0" applyBorder="1" applyAlignment="1">
      <alignment wrapText="1"/>
    </xf>
    <xf numFmtId="0" fontId="0" fillId="0" borderId="4" xfId="0" applyBorder="1" applyAlignment="1">
      <alignment wrapText="1"/>
    </xf>
    <xf numFmtId="0" fontId="0" fillId="0" borderId="13" xfId="0" applyBorder="1" applyAlignment="1">
      <alignment wrapText="1"/>
    </xf>
    <xf numFmtId="0" fontId="0" fillId="0" borderId="0" xfId="0" applyAlignment="1">
      <alignment wrapText="1"/>
    </xf>
    <xf numFmtId="0" fontId="0" fillId="0" borderId="14" xfId="0" applyBorder="1" applyAlignment="1">
      <alignment wrapText="1"/>
    </xf>
    <xf numFmtId="0" fontId="0" fillId="0" borderId="5" xfId="0" applyBorder="1" applyAlignment="1">
      <alignment wrapText="1"/>
    </xf>
    <xf numFmtId="0" fontId="0" fillId="0" borderId="6" xfId="0" applyBorder="1" applyAlignment="1">
      <alignment wrapText="1"/>
    </xf>
    <xf numFmtId="0" fontId="0" fillId="0" borderId="7" xfId="0" applyBorder="1" applyAlignment="1">
      <alignment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13" xfId="0" applyBorder="1" applyAlignment="1">
      <alignment horizontal="left" vertical="center" wrapText="1"/>
    </xf>
    <xf numFmtId="0" fontId="0" fillId="0" borderId="0" xfId="0" applyAlignment="1">
      <alignment horizontal="left" vertical="center" wrapText="1"/>
    </xf>
    <xf numFmtId="0" fontId="0" fillId="0" borderId="14" xfId="0" applyBorder="1" applyAlignment="1">
      <alignment horizontal="left"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16" xfId="0" applyBorder="1"/>
    <xf numFmtId="2" fontId="0" fillId="0" borderId="16" xfId="0" applyNumberFormat="1" applyBorder="1"/>
    <xf numFmtId="0" fontId="0" fillId="0" borderId="17" xfId="0" applyBorder="1"/>
    <xf numFmtId="0" fontId="0" fillId="0" borderId="19" xfId="0" applyBorder="1"/>
    <xf numFmtId="0" fontId="0" fillId="0" borderId="21" xfId="0" applyBorder="1"/>
    <xf numFmtId="2" fontId="0" fillId="0" borderId="1" xfId="0" applyNumberFormat="1" applyBorder="1"/>
    <xf numFmtId="0" fontId="0" fillId="2" borderId="1" xfId="0" applyFill="1" applyBorder="1"/>
    <xf numFmtId="10" fontId="0" fillId="2" borderId="1" xfId="1" applyNumberFormat="1" applyFont="1" applyFill="1" applyBorder="1"/>
    <xf numFmtId="0" fontId="4" fillId="0" borderId="2" xfId="0" applyFont="1" applyBorder="1" applyAlignment="1">
      <alignment horizontal="left" vertical="top" wrapText="1"/>
    </xf>
    <xf numFmtId="0" fontId="4" fillId="0" borderId="3" xfId="0" applyFont="1" applyBorder="1" applyAlignment="1">
      <alignment horizontal="left" vertical="top" wrapText="1"/>
    </xf>
    <xf numFmtId="0" fontId="4" fillId="0" borderId="4" xfId="0" applyFont="1" applyBorder="1" applyAlignment="1">
      <alignment horizontal="left" vertical="top" wrapText="1"/>
    </xf>
    <xf numFmtId="0" fontId="4" fillId="0" borderId="13" xfId="0" applyFont="1" applyBorder="1" applyAlignment="1">
      <alignment horizontal="left" vertical="top" wrapText="1"/>
    </xf>
    <xf numFmtId="0" fontId="4" fillId="0" borderId="0" xfId="0" applyFont="1" applyBorder="1" applyAlignment="1">
      <alignment horizontal="left" vertical="top" wrapText="1"/>
    </xf>
    <xf numFmtId="0" fontId="4" fillId="0" borderId="14" xfId="0" applyFont="1" applyBorder="1" applyAlignment="1">
      <alignment horizontal="left" vertical="top" wrapText="1"/>
    </xf>
    <xf numFmtId="0" fontId="4" fillId="0" borderId="5"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2" fillId="0" borderId="16" xfId="0" applyFont="1" applyBorder="1" applyAlignment="1">
      <alignment horizontal="left" vertical="center" wrapText="1"/>
    </xf>
    <xf numFmtId="0" fontId="0" fillId="2" borderId="16" xfId="0" applyFill="1" applyBorder="1"/>
    <xf numFmtId="10" fontId="0" fillId="2" borderId="16" xfId="1" applyNumberFormat="1" applyFont="1" applyFill="1" applyBorder="1"/>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4" fillId="0" borderId="4" xfId="0" applyFont="1" applyBorder="1" applyAlignment="1">
      <alignment horizontal="left" vertical="center" wrapText="1"/>
    </xf>
    <xf numFmtId="0" fontId="4" fillId="0" borderId="13" xfId="0" applyFont="1" applyBorder="1" applyAlignment="1">
      <alignment horizontal="left" vertical="center" wrapText="1"/>
    </xf>
    <xf numFmtId="0" fontId="4" fillId="0" borderId="0" xfId="0" applyFont="1" applyBorder="1" applyAlignment="1">
      <alignment horizontal="left" vertical="center" wrapText="1"/>
    </xf>
    <xf numFmtId="0" fontId="4" fillId="0" borderId="14" xfId="0" applyFont="1" applyBorder="1" applyAlignment="1">
      <alignment horizontal="left" vertical="center" wrapText="1"/>
    </xf>
    <xf numFmtId="0" fontId="4" fillId="0" borderId="5" xfId="0" applyFont="1" applyBorder="1" applyAlignment="1">
      <alignment horizontal="left" vertical="center" wrapText="1"/>
    </xf>
    <xf numFmtId="0" fontId="4" fillId="0" borderId="6" xfId="0" applyFont="1" applyBorder="1" applyAlignment="1">
      <alignment horizontal="left" vertical="center" wrapText="1"/>
    </xf>
    <xf numFmtId="0" fontId="4" fillId="0" borderId="7" xfId="0" applyFont="1" applyBorder="1" applyAlignment="1">
      <alignment horizontal="left" vertical="center" wrapText="1"/>
    </xf>
    <xf numFmtId="0" fontId="6" fillId="0" borderId="16" xfId="0" applyFont="1" applyBorder="1" applyAlignment="1">
      <alignment horizontal="left" vertical="center" wrapText="1"/>
    </xf>
    <xf numFmtId="164" fontId="0" fillId="0" borderId="18" xfId="0" applyNumberFormat="1" applyBorder="1"/>
    <xf numFmtId="164" fontId="0" fillId="0" borderId="20" xfId="0" applyNumberFormat="1" applyBorder="1"/>
    <xf numFmtId="164" fontId="0" fillId="0" borderId="22" xfId="0" applyNumberFormat="1" applyBorder="1"/>
    <xf numFmtId="0" fontId="4" fillId="0" borderId="0" xfId="0" applyFont="1" applyAlignment="1">
      <alignment horizontal="left" vertical="top" wrapText="1"/>
    </xf>
    <xf numFmtId="0" fontId="1" fillId="0" borderId="16" xfId="0" applyFont="1" applyBorder="1" applyAlignment="1">
      <alignment horizontal="center" vertical="center"/>
    </xf>
    <xf numFmtId="0" fontId="1" fillId="0" borderId="16" xfId="0" applyFont="1" applyBorder="1" applyAlignment="1">
      <alignment horizontal="right" vertical="center"/>
    </xf>
    <xf numFmtId="0" fontId="0" fillId="0" borderId="16" xfId="0" applyBorder="1" applyAlignment="1">
      <alignment vertical="center"/>
    </xf>
    <xf numFmtId="164" fontId="0" fillId="0" borderId="16" xfId="0" applyNumberFormat="1" applyBorder="1" applyAlignment="1">
      <alignment horizontal="right" vertical="center"/>
    </xf>
    <xf numFmtId="0" fontId="7" fillId="0" borderId="2" xfId="0" applyFont="1" applyBorder="1" applyAlignment="1">
      <alignment horizontal="left" vertical="top" wrapText="1"/>
    </xf>
    <xf numFmtId="0" fontId="7" fillId="0" borderId="3" xfId="0" applyFont="1" applyBorder="1" applyAlignment="1">
      <alignment horizontal="left" vertical="top" wrapText="1"/>
    </xf>
    <xf numFmtId="0" fontId="7" fillId="0" borderId="4" xfId="0" applyFont="1" applyBorder="1" applyAlignment="1">
      <alignment horizontal="left" vertical="top" wrapText="1"/>
    </xf>
    <xf numFmtId="0" fontId="7" fillId="0" borderId="13" xfId="0" applyFont="1" applyBorder="1" applyAlignment="1">
      <alignment horizontal="left" vertical="top" wrapText="1"/>
    </xf>
    <xf numFmtId="0" fontId="7" fillId="0" borderId="0" xfId="0" applyFont="1" applyBorder="1" applyAlignment="1">
      <alignment horizontal="left" vertical="top" wrapText="1"/>
    </xf>
    <xf numFmtId="0" fontId="7" fillId="0" borderId="14" xfId="0" applyFont="1" applyBorder="1" applyAlignment="1">
      <alignment horizontal="left" vertical="top" wrapText="1"/>
    </xf>
    <xf numFmtId="0" fontId="7" fillId="0" borderId="5" xfId="0" applyFont="1" applyBorder="1" applyAlignment="1">
      <alignment horizontal="left" vertical="top" wrapText="1"/>
    </xf>
    <xf numFmtId="0" fontId="7" fillId="0" borderId="6" xfId="0" applyFont="1" applyBorder="1" applyAlignment="1">
      <alignment horizontal="left" vertical="top" wrapText="1"/>
    </xf>
    <xf numFmtId="0" fontId="7" fillId="0" borderId="7" xfId="0" applyFont="1" applyBorder="1" applyAlignment="1">
      <alignment horizontal="left" vertical="top"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7</xdr:col>
      <xdr:colOff>381000</xdr:colOff>
      <xdr:row>4</xdr:row>
      <xdr:rowOff>104775</xdr:rowOff>
    </xdr:from>
    <xdr:to>
      <xdr:col>7</xdr:col>
      <xdr:colOff>590550</xdr:colOff>
      <xdr:row>4</xdr:row>
      <xdr:rowOff>104775</xdr:rowOff>
    </xdr:to>
    <xdr:cxnSp macro="">
      <xdr:nvCxnSpPr>
        <xdr:cNvPr id="3" name="Straight Arrow Connector 2">
          <a:extLst>
            <a:ext uri="{FF2B5EF4-FFF2-40B4-BE49-F238E27FC236}">
              <a16:creationId xmlns:a16="http://schemas.microsoft.com/office/drawing/2014/main" id="{667CCD57-3CFE-CF52-47A2-DED1D933C4C1}"/>
            </a:ext>
          </a:extLst>
        </xdr:cNvPr>
        <xdr:cNvCxnSpPr/>
      </xdr:nvCxnSpPr>
      <xdr:spPr>
        <a:xfrm>
          <a:off x="5286375" y="895350"/>
          <a:ext cx="209550" cy="0"/>
        </a:xfrm>
        <a:prstGeom prst="straightConnector1">
          <a:avLst/>
        </a:prstGeom>
        <a:ln>
          <a:solidFill>
            <a:schemeClr val="tx1"/>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400050</xdr:colOff>
      <xdr:row>6</xdr:row>
      <xdr:rowOff>95250</xdr:rowOff>
    </xdr:from>
    <xdr:to>
      <xdr:col>8</xdr:col>
      <xdr:colOff>0</xdr:colOff>
      <xdr:row>6</xdr:row>
      <xdr:rowOff>95250</xdr:rowOff>
    </xdr:to>
    <xdr:cxnSp macro="">
      <xdr:nvCxnSpPr>
        <xdr:cNvPr id="6" name="Straight Arrow Connector 5">
          <a:extLst>
            <a:ext uri="{FF2B5EF4-FFF2-40B4-BE49-F238E27FC236}">
              <a16:creationId xmlns:a16="http://schemas.microsoft.com/office/drawing/2014/main" id="{F6086C7E-18A0-4418-9CE6-924008E9CE03}"/>
            </a:ext>
          </a:extLst>
        </xdr:cNvPr>
        <xdr:cNvCxnSpPr/>
      </xdr:nvCxnSpPr>
      <xdr:spPr>
        <a:xfrm>
          <a:off x="5305425" y="1285875"/>
          <a:ext cx="209550" cy="0"/>
        </a:xfrm>
        <a:prstGeom prst="straightConnector1">
          <a:avLst/>
        </a:prstGeom>
        <a:ln>
          <a:solidFill>
            <a:schemeClr val="tx1"/>
          </a:solidFill>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L12"/>
  <sheetViews>
    <sheetView workbookViewId="0">
      <selection activeCell="O8" sqref="O8"/>
    </sheetView>
  </sheetViews>
  <sheetFormatPr defaultRowHeight="15" x14ac:dyDescent="0.25"/>
  <sheetData>
    <row r="1" spans="2:12" ht="15.75" thickBot="1" x14ac:dyDescent="0.3"/>
    <row r="2" spans="2:12" x14ac:dyDescent="0.25">
      <c r="B2" s="25" t="s">
        <v>0</v>
      </c>
      <c r="C2" s="26"/>
      <c r="D2" s="26"/>
      <c r="E2" s="26"/>
      <c r="F2" s="26"/>
      <c r="G2" s="26"/>
      <c r="H2" s="26"/>
      <c r="I2" s="26"/>
      <c r="J2" s="26"/>
      <c r="K2" s="26"/>
      <c r="L2" s="27"/>
    </row>
    <row r="3" spans="2:12" ht="15.75" thickBot="1" x14ac:dyDescent="0.3">
      <c r="B3" s="28"/>
      <c r="C3" s="29"/>
      <c r="D3" s="29"/>
      <c r="E3" s="29"/>
      <c r="F3" s="29"/>
      <c r="G3" s="29"/>
      <c r="H3" s="29"/>
      <c r="I3" s="29"/>
      <c r="J3" s="29"/>
      <c r="K3" s="29"/>
      <c r="L3" s="30"/>
    </row>
    <row r="4" spans="2:12" ht="15.75" thickBot="1" x14ac:dyDescent="0.3"/>
    <row r="5" spans="2:12" ht="15.75" thickBot="1" x14ac:dyDescent="0.3">
      <c r="B5" s="4" t="s">
        <v>1</v>
      </c>
    </row>
    <row r="6" spans="2:12" ht="15.75" thickBot="1" x14ac:dyDescent="0.3">
      <c r="B6" s="3">
        <v>6500</v>
      </c>
      <c r="D6" s="6" t="s">
        <v>2</v>
      </c>
    </row>
    <row r="7" spans="2:12" ht="15.75" thickBot="1" x14ac:dyDescent="0.3">
      <c r="B7" s="1">
        <v>7200</v>
      </c>
      <c r="D7" s="5" t="s">
        <v>3</v>
      </c>
      <c r="E7" s="7">
        <f>MAX(B6:B12)-MIN(B6:B12)</f>
        <v>3000</v>
      </c>
    </row>
    <row r="8" spans="2:12" ht="15.75" thickBot="1" x14ac:dyDescent="0.3">
      <c r="B8" s="1">
        <v>8000</v>
      </c>
    </row>
    <row r="9" spans="2:12" x14ac:dyDescent="0.25">
      <c r="B9" s="1">
        <v>6000</v>
      </c>
      <c r="D9" s="31" t="s">
        <v>4</v>
      </c>
      <c r="E9" s="32"/>
      <c r="F9" s="32"/>
      <c r="G9" s="32"/>
      <c r="H9" s="32"/>
      <c r="I9" s="32"/>
      <c r="J9" s="32"/>
      <c r="K9" s="32"/>
      <c r="L9" s="33"/>
    </row>
    <row r="10" spans="2:12" x14ac:dyDescent="0.25">
      <c r="B10" s="1">
        <v>9000</v>
      </c>
      <c r="D10" s="34"/>
      <c r="E10" s="35"/>
      <c r="F10" s="35"/>
      <c r="G10" s="35"/>
      <c r="H10" s="35"/>
      <c r="I10" s="35"/>
      <c r="J10" s="35"/>
      <c r="K10" s="35"/>
      <c r="L10" s="36"/>
    </row>
    <row r="11" spans="2:12" ht="15.75" thickBot="1" x14ac:dyDescent="0.3">
      <c r="B11" s="1">
        <v>7500</v>
      </c>
      <c r="D11" s="37"/>
      <c r="E11" s="38"/>
      <c r="F11" s="38"/>
      <c r="G11" s="38"/>
      <c r="H11" s="38"/>
      <c r="I11" s="38"/>
      <c r="J11" s="38"/>
      <c r="K11" s="38"/>
      <c r="L11" s="39"/>
    </row>
    <row r="12" spans="2:12" ht="15.75" thickBot="1" x14ac:dyDescent="0.3">
      <c r="B12" s="2">
        <v>8200</v>
      </c>
    </row>
  </sheetData>
  <mergeCells count="2">
    <mergeCell ref="B2:L3"/>
    <mergeCell ref="D9:L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1A928-8E87-4218-ABBE-D5CAEFE58E83}">
  <dimension ref="B1:O10"/>
  <sheetViews>
    <sheetView workbookViewId="0">
      <selection activeCell="I15" sqref="I15"/>
    </sheetView>
  </sheetViews>
  <sheetFormatPr defaultRowHeight="15" x14ac:dyDescent="0.25"/>
  <cols>
    <col min="5" max="5" width="18.140625" bestFit="1" customWidth="1"/>
    <col min="6" max="6" width="9.7109375" bestFit="1" customWidth="1"/>
  </cols>
  <sheetData>
    <row r="1" spans="2:15" ht="15.75" thickBot="1" x14ac:dyDescent="0.3"/>
    <row r="2" spans="2:15" x14ac:dyDescent="0.25">
      <c r="B2" s="25" t="s">
        <v>5</v>
      </c>
      <c r="C2" s="26"/>
      <c r="D2" s="26"/>
      <c r="E2" s="26"/>
      <c r="F2" s="26"/>
      <c r="G2" s="26"/>
      <c r="H2" s="26"/>
      <c r="I2" s="27"/>
    </row>
    <row r="3" spans="2:15" ht="15.75" thickBot="1" x14ac:dyDescent="0.3">
      <c r="B3" s="28"/>
      <c r="C3" s="29"/>
      <c r="D3" s="29"/>
      <c r="E3" s="29"/>
      <c r="F3" s="29"/>
      <c r="G3" s="29"/>
      <c r="H3" s="29"/>
      <c r="I3" s="30"/>
    </row>
    <row r="4" spans="2:15" ht="15.75" thickBot="1" x14ac:dyDescent="0.3"/>
    <row r="5" spans="2:15" ht="15.75" thickBot="1" x14ac:dyDescent="0.3">
      <c r="B5" s="11" t="s">
        <v>6</v>
      </c>
      <c r="I5" s="40" t="s">
        <v>9</v>
      </c>
      <c r="J5" s="41"/>
      <c r="K5" s="41"/>
      <c r="L5" s="41"/>
      <c r="M5" s="41"/>
      <c r="N5" s="42"/>
    </row>
    <row r="6" spans="2:15" ht="15.75" thickBot="1" x14ac:dyDescent="0.3">
      <c r="B6" s="10">
        <v>250</v>
      </c>
      <c r="I6" s="43"/>
      <c r="J6" s="44"/>
      <c r="K6" s="44"/>
      <c r="L6" s="44"/>
      <c r="M6" s="44"/>
      <c r="N6" s="45"/>
    </row>
    <row r="7" spans="2:15" ht="15.75" customHeight="1" thickBot="1" x14ac:dyDescent="0.3">
      <c r="B7" s="8">
        <v>400</v>
      </c>
      <c r="E7" s="12" t="s">
        <v>2</v>
      </c>
      <c r="I7" s="40" t="s">
        <v>10</v>
      </c>
      <c r="J7" s="41"/>
      <c r="K7" s="41"/>
      <c r="L7" s="41"/>
      <c r="M7" s="41"/>
      <c r="N7" s="41"/>
      <c r="O7" s="42"/>
    </row>
    <row r="8" spans="2:15" ht="15.75" thickBot="1" x14ac:dyDescent="0.3">
      <c r="B8" s="8">
        <v>350</v>
      </c>
      <c r="E8" s="7" t="s">
        <v>7</v>
      </c>
      <c r="F8" s="15">
        <f>_xlfn.VAR.P(B6:B10)</f>
        <v>7400</v>
      </c>
      <c r="I8" s="46"/>
      <c r="J8" s="47"/>
      <c r="K8" s="47"/>
      <c r="L8" s="47"/>
      <c r="M8" s="47"/>
      <c r="N8" s="47"/>
      <c r="O8" s="48"/>
    </row>
    <row r="9" spans="2:15" ht="15.75" thickBot="1" x14ac:dyDescent="0.3">
      <c r="B9" s="8">
        <v>300</v>
      </c>
      <c r="E9" s="13" t="s">
        <v>8</v>
      </c>
      <c r="F9" s="14">
        <f>_xlfn.STDEV.P(B6:B10)</f>
        <v>86.023252670426274</v>
      </c>
    </row>
    <row r="10" spans="2:15" ht="15.75" thickBot="1" x14ac:dyDescent="0.3">
      <c r="B10" s="9">
        <v>500</v>
      </c>
    </row>
  </sheetData>
  <mergeCells count="3">
    <mergeCell ref="B2:I3"/>
    <mergeCell ref="I5:N6"/>
    <mergeCell ref="I7:O8"/>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22E3F-C896-4465-B9CB-8B48431AB3DD}">
  <dimension ref="B1:Q11"/>
  <sheetViews>
    <sheetView workbookViewId="0">
      <selection activeCell="H17" sqref="H17"/>
    </sheetView>
  </sheetViews>
  <sheetFormatPr defaultRowHeight="15" x14ac:dyDescent="0.25"/>
  <cols>
    <col min="2" max="2" width="17.42578125" bestFit="1" customWidth="1"/>
    <col min="4" max="4" width="13.5703125" bestFit="1" customWidth="1"/>
  </cols>
  <sheetData>
    <row r="1" spans="2:17" ht="15.75" thickBot="1" x14ac:dyDescent="0.3"/>
    <row r="2" spans="2:17" x14ac:dyDescent="0.25">
      <c r="B2" s="19" t="s">
        <v>11</v>
      </c>
      <c r="C2" s="20"/>
      <c r="D2" s="20"/>
      <c r="E2" s="20"/>
      <c r="F2" s="20"/>
      <c r="G2" s="20"/>
      <c r="H2" s="20"/>
      <c r="I2" s="20"/>
      <c r="J2" s="20"/>
      <c r="K2" s="20"/>
      <c r="L2" s="20"/>
      <c r="M2" s="20"/>
      <c r="N2" s="20"/>
      <c r="O2" s="21"/>
    </row>
    <row r="3" spans="2:17" ht="15.75" thickBot="1" x14ac:dyDescent="0.3">
      <c r="B3" s="22"/>
      <c r="C3" s="23"/>
      <c r="D3" s="23"/>
      <c r="E3" s="23"/>
      <c r="F3" s="23"/>
      <c r="G3" s="23"/>
      <c r="H3" s="23"/>
      <c r="I3" s="23"/>
      <c r="J3" s="23"/>
      <c r="K3" s="23"/>
      <c r="L3" s="23"/>
      <c r="M3" s="23"/>
      <c r="N3" s="23"/>
      <c r="O3" s="24"/>
    </row>
    <row r="4" spans="2:17" ht="15.75" thickBot="1" x14ac:dyDescent="0.3"/>
    <row r="5" spans="2:17" ht="15.75" thickBot="1" x14ac:dyDescent="0.3">
      <c r="B5" s="11" t="s">
        <v>12</v>
      </c>
    </row>
    <row r="6" spans="2:17" ht="18.75" customHeight="1" thickBot="1" x14ac:dyDescent="0.3">
      <c r="B6" s="18">
        <v>3.2</v>
      </c>
      <c r="D6" s="7" t="s">
        <v>13</v>
      </c>
      <c r="E6" s="54">
        <f>AVERAGE(B6:B11)</f>
        <v>3.0833333333333335</v>
      </c>
      <c r="G6" s="57" t="s">
        <v>16</v>
      </c>
      <c r="H6" s="58"/>
      <c r="I6" s="58"/>
      <c r="J6" s="58"/>
      <c r="K6" s="58"/>
      <c r="L6" s="58"/>
      <c r="M6" s="58"/>
      <c r="N6" s="58"/>
      <c r="O6" s="58"/>
      <c r="P6" s="58"/>
      <c r="Q6" s="59"/>
    </row>
    <row r="7" spans="2:17" ht="15.75" thickBot="1" x14ac:dyDescent="0.3">
      <c r="B7" s="16">
        <v>2.8</v>
      </c>
      <c r="D7" s="7" t="s">
        <v>14</v>
      </c>
      <c r="E7" s="7">
        <f>_xlfn.STDEV.P(B6:B11)</f>
        <v>0.22669117514559078</v>
      </c>
      <c r="G7" s="60"/>
      <c r="H7" s="61"/>
      <c r="I7" s="61"/>
      <c r="J7" s="61"/>
      <c r="K7" s="61"/>
      <c r="L7" s="61"/>
      <c r="M7" s="61"/>
      <c r="N7" s="61"/>
      <c r="O7" s="61"/>
      <c r="P7" s="61"/>
      <c r="Q7" s="62"/>
    </row>
    <row r="8" spans="2:17" ht="15.75" thickBot="1" x14ac:dyDescent="0.3">
      <c r="B8" s="16">
        <v>3.5</v>
      </c>
      <c r="D8" s="55" t="s">
        <v>15</v>
      </c>
      <c r="E8" s="56">
        <f>(E7/E6)</f>
        <v>7.3521462209380786E-2</v>
      </c>
      <c r="G8" s="60"/>
      <c r="H8" s="61"/>
      <c r="I8" s="61"/>
      <c r="J8" s="61"/>
      <c r="K8" s="61"/>
      <c r="L8" s="61"/>
      <c r="M8" s="61"/>
      <c r="N8" s="61"/>
      <c r="O8" s="61"/>
      <c r="P8" s="61"/>
      <c r="Q8" s="62"/>
    </row>
    <row r="9" spans="2:17" x14ac:dyDescent="0.25">
      <c r="B9" s="16">
        <v>3</v>
      </c>
      <c r="G9" s="60"/>
      <c r="H9" s="61"/>
      <c r="I9" s="61"/>
      <c r="J9" s="61"/>
      <c r="K9" s="61"/>
      <c r="L9" s="61"/>
      <c r="M9" s="61"/>
      <c r="N9" s="61"/>
      <c r="O9" s="61"/>
      <c r="P9" s="61"/>
      <c r="Q9" s="62"/>
    </row>
    <row r="10" spans="2:17" ht="15.75" thickBot="1" x14ac:dyDescent="0.3">
      <c r="B10" s="16">
        <v>2.9</v>
      </c>
      <c r="G10" s="63"/>
      <c r="H10" s="64"/>
      <c r="I10" s="64"/>
      <c r="J10" s="64"/>
      <c r="K10" s="64"/>
      <c r="L10" s="64"/>
      <c r="M10" s="64"/>
      <c r="N10" s="64"/>
      <c r="O10" s="64"/>
      <c r="P10" s="64"/>
      <c r="Q10" s="65"/>
    </row>
    <row r="11" spans="2:17" ht="15.75" thickBot="1" x14ac:dyDescent="0.3">
      <c r="B11" s="17">
        <v>3.1</v>
      </c>
    </row>
  </sheetData>
  <mergeCells count="2">
    <mergeCell ref="B2:O3"/>
    <mergeCell ref="G6:Q1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9419E-A709-4CE4-8BFC-152636027C15}">
  <dimension ref="B2:R16"/>
  <sheetViews>
    <sheetView workbookViewId="0">
      <selection activeCell="G13" sqref="G13"/>
    </sheetView>
  </sheetViews>
  <sheetFormatPr defaultRowHeight="15" x14ac:dyDescent="0.25"/>
  <cols>
    <col min="2" max="2" width="11.5703125" bestFit="1" customWidth="1"/>
    <col min="4" max="4" width="13.5703125" bestFit="1" customWidth="1"/>
    <col min="5" max="5" width="12" bestFit="1" customWidth="1"/>
  </cols>
  <sheetData>
    <row r="2" spans="2:18" x14ac:dyDescent="0.25">
      <c r="B2" s="66" t="s">
        <v>17</v>
      </c>
      <c r="C2" s="66"/>
      <c r="D2" s="66"/>
      <c r="E2" s="66"/>
      <c r="F2" s="66"/>
      <c r="G2" s="66"/>
      <c r="H2" s="66"/>
      <c r="I2" s="66"/>
      <c r="J2" s="66"/>
      <c r="K2" s="66"/>
      <c r="L2" s="66"/>
      <c r="M2" s="66"/>
      <c r="N2" s="66"/>
    </row>
    <row r="3" spans="2:18" x14ac:dyDescent="0.25">
      <c r="B3" s="66"/>
      <c r="C3" s="66"/>
      <c r="D3" s="66"/>
      <c r="E3" s="66"/>
      <c r="F3" s="66"/>
      <c r="G3" s="66"/>
      <c r="H3" s="66"/>
      <c r="I3" s="66"/>
      <c r="J3" s="66"/>
      <c r="K3" s="66"/>
      <c r="L3" s="66"/>
      <c r="M3" s="66"/>
      <c r="N3" s="66"/>
    </row>
    <row r="6" spans="2:18" ht="15.75" thickBot="1" x14ac:dyDescent="0.3">
      <c r="B6" s="49" t="s">
        <v>18</v>
      </c>
    </row>
    <row r="7" spans="2:18" ht="18" customHeight="1" x14ac:dyDescent="0.25">
      <c r="B7" s="49">
        <v>120</v>
      </c>
      <c r="D7" s="49" t="s">
        <v>19</v>
      </c>
      <c r="E7" s="50">
        <f>AVERAGE(B7:B16)</f>
        <v>139.5</v>
      </c>
      <c r="H7" s="69" t="s">
        <v>20</v>
      </c>
      <c r="I7" s="70"/>
      <c r="J7" s="70"/>
      <c r="K7" s="70"/>
      <c r="L7" s="70"/>
      <c r="M7" s="70"/>
      <c r="N7" s="70"/>
      <c r="O7" s="70"/>
      <c r="P7" s="70"/>
      <c r="Q7" s="70"/>
      <c r="R7" s="71"/>
    </row>
    <row r="8" spans="2:18" x14ac:dyDescent="0.25">
      <c r="B8" s="49">
        <v>150</v>
      </c>
      <c r="D8" s="49" t="s">
        <v>14</v>
      </c>
      <c r="E8" s="50">
        <f>_xlfn.STDEV.P(B7:B16)</f>
        <v>18.090052515125542</v>
      </c>
      <c r="H8" s="72"/>
      <c r="I8" s="73"/>
      <c r="J8" s="73"/>
      <c r="K8" s="73"/>
      <c r="L8" s="73"/>
      <c r="M8" s="73"/>
      <c r="N8" s="73"/>
      <c r="O8" s="73"/>
      <c r="P8" s="73"/>
      <c r="Q8" s="73"/>
      <c r="R8" s="74"/>
    </row>
    <row r="9" spans="2:18" x14ac:dyDescent="0.25">
      <c r="B9" s="49">
        <v>130</v>
      </c>
      <c r="D9" s="67" t="s">
        <v>15</v>
      </c>
      <c r="E9" s="68">
        <f>E8/E7</f>
        <v>0.12967779580735156</v>
      </c>
      <c r="H9" s="72"/>
      <c r="I9" s="73"/>
      <c r="J9" s="73"/>
      <c r="K9" s="73"/>
      <c r="L9" s="73"/>
      <c r="M9" s="73"/>
      <c r="N9" s="73"/>
      <c r="O9" s="73"/>
      <c r="P9" s="73"/>
      <c r="Q9" s="73"/>
      <c r="R9" s="74"/>
    </row>
    <row r="10" spans="2:18" x14ac:dyDescent="0.25">
      <c r="B10" s="49">
        <v>110</v>
      </c>
      <c r="H10" s="72"/>
      <c r="I10" s="73"/>
      <c r="J10" s="73"/>
      <c r="K10" s="73"/>
      <c r="L10" s="73"/>
      <c r="M10" s="73"/>
      <c r="N10" s="73"/>
      <c r="O10" s="73"/>
      <c r="P10" s="73"/>
      <c r="Q10" s="73"/>
      <c r="R10" s="74"/>
    </row>
    <row r="11" spans="2:18" ht="15.75" thickBot="1" x14ac:dyDescent="0.3">
      <c r="B11" s="49">
        <v>170</v>
      </c>
      <c r="H11" s="75"/>
      <c r="I11" s="76"/>
      <c r="J11" s="76"/>
      <c r="K11" s="76"/>
      <c r="L11" s="76"/>
      <c r="M11" s="76"/>
      <c r="N11" s="76"/>
      <c r="O11" s="76"/>
      <c r="P11" s="76"/>
      <c r="Q11" s="76"/>
      <c r="R11" s="77"/>
    </row>
    <row r="12" spans="2:18" x14ac:dyDescent="0.25">
      <c r="B12" s="49">
        <v>140</v>
      </c>
    </row>
    <row r="13" spans="2:18" x14ac:dyDescent="0.25">
      <c r="B13" s="49">
        <v>135</v>
      </c>
    </row>
    <row r="14" spans="2:18" x14ac:dyDescent="0.25">
      <c r="B14" s="49">
        <v>160</v>
      </c>
    </row>
    <row r="15" spans="2:18" x14ac:dyDescent="0.25">
      <c r="B15" s="49">
        <v>125</v>
      </c>
    </row>
    <row r="16" spans="2:18" x14ac:dyDescent="0.25">
      <c r="B16" s="49">
        <v>155</v>
      </c>
    </row>
  </sheetData>
  <mergeCells count="2">
    <mergeCell ref="B2:N3"/>
    <mergeCell ref="H7:R1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E6940-C024-4983-B527-654A4CD2D8C2}">
  <dimension ref="B2:P15"/>
  <sheetViews>
    <sheetView tabSelected="1" topLeftCell="B1" workbookViewId="0">
      <selection activeCell="Q8" sqref="Q8"/>
    </sheetView>
  </sheetViews>
  <sheetFormatPr defaultRowHeight="15" x14ac:dyDescent="0.25"/>
  <cols>
    <col min="2" max="2" width="11.42578125" bestFit="1" customWidth="1"/>
    <col min="3" max="3" width="30.85546875" bestFit="1" customWidth="1"/>
    <col min="6" max="6" width="13.5703125" bestFit="1" customWidth="1"/>
    <col min="7" max="7" width="21.42578125" bestFit="1" customWidth="1"/>
  </cols>
  <sheetData>
    <row r="2" spans="2:16" x14ac:dyDescent="0.25">
      <c r="B2" s="78" t="s">
        <v>21</v>
      </c>
      <c r="C2" s="78"/>
      <c r="D2" s="78"/>
      <c r="E2" s="78"/>
      <c r="F2" s="78"/>
      <c r="G2" s="78"/>
      <c r="H2" s="78"/>
      <c r="I2" s="78"/>
      <c r="J2" s="78"/>
      <c r="K2" s="78"/>
      <c r="L2" s="78"/>
      <c r="M2" s="78"/>
      <c r="N2" s="78"/>
    </row>
    <row r="3" spans="2:16" x14ac:dyDescent="0.25">
      <c r="B3" s="78"/>
      <c r="C3" s="78"/>
      <c r="D3" s="78"/>
      <c r="E3" s="78"/>
      <c r="F3" s="78"/>
      <c r="G3" s="78"/>
      <c r="H3" s="78"/>
      <c r="I3" s="78"/>
      <c r="J3" s="78"/>
      <c r="K3" s="78"/>
      <c r="L3" s="78"/>
      <c r="M3" s="78"/>
      <c r="N3" s="78"/>
    </row>
    <row r="5" spans="2:16" ht="15.75" thickBot="1" x14ac:dyDescent="0.3">
      <c r="B5" s="83" t="s">
        <v>22</v>
      </c>
      <c r="C5" s="84" t="s">
        <v>23</v>
      </c>
    </row>
    <row r="6" spans="2:16" x14ac:dyDescent="0.25">
      <c r="B6" s="85" t="s">
        <v>24</v>
      </c>
      <c r="C6" s="86">
        <v>12500000</v>
      </c>
      <c r="F6" s="51" t="s">
        <v>7</v>
      </c>
      <c r="G6" s="79">
        <f>_xlfn.VAR.P(C6:C12)</f>
        <v>4428571428571.4287</v>
      </c>
    </row>
    <row r="7" spans="2:16" x14ac:dyDescent="0.25">
      <c r="B7" s="85" t="s">
        <v>25</v>
      </c>
      <c r="C7" s="86">
        <v>15200000</v>
      </c>
      <c r="F7" s="52" t="s">
        <v>14</v>
      </c>
      <c r="G7" s="80">
        <f>_xlfn.STDEV.P(C6:C12)</f>
        <v>2104417.123236605</v>
      </c>
    </row>
    <row r="8" spans="2:16" ht="15.75" thickBot="1" x14ac:dyDescent="0.3">
      <c r="B8" s="85" t="s">
        <v>26</v>
      </c>
      <c r="C8" s="86">
        <v>13800000</v>
      </c>
      <c r="F8" s="53" t="s">
        <v>19</v>
      </c>
      <c r="G8" s="81">
        <f>AVERAGE(C6:C12)</f>
        <v>15500000</v>
      </c>
    </row>
    <row r="9" spans="2:16" ht="15.75" thickBot="1" x14ac:dyDescent="0.3">
      <c r="B9" s="85" t="s">
        <v>27</v>
      </c>
      <c r="C9" s="86">
        <v>17500000</v>
      </c>
    </row>
    <row r="10" spans="2:16" ht="18" customHeight="1" x14ac:dyDescent="0.25">
      <c r="B10" s="85" t="s">
        <v>28</v>
      </c>
      <c r="C10" s="86">
        <v>14100000</v>
      </c>
      <c r="F10" s="87" t="s">
        <v>31</v>
      </c>
      <c r="G10" s="88"/>
      <c r="H10" s="88"/>
      <c r="I10" s="88"/>
      <c r="J10" s="88"/>
      <c r="K10" s="88"/>
      <c r="L10" s="88"/>
      <c r="M10" s="88"/>
      <c r="N10" s="88"/>
      <c r="O10" s="89"/>
      <c r="P10" s="82"/>
    </row>
    <row r="11" spans="2:16" ht="15" customHeight="1" x14ac:dyDescent="0.25">
      <c r="B11" s="85" t="s">
        <v>29</v>
      </c>
      <c r="C11" s="86">
        <v>19000000</v>
      </c>
      <c r="F11" s="90"/>
      <c r="G11" s="91"/>
      <c r="H11" s="91"/>
      <c r="I11" s="91"/>
      <c r="J11" s="91"/>
      <c r="K11" s="91"/>
      <c r="L11" s="91"/>
      <c r="M11" s="91"/>
      <c r="N11" s="91"/>
      <c r="O11" s="92"/>
      <c r="P11" s="82"/>
    </row>
    <row r="12" spans="2:16" ht="15" customHeight="1" x14ac:dyDescent="0.25">
      <c r="B12" s="85" t="s">
        <v>30</v>
      </c>
      <c r="C12" s="86">
        <v>16400000</v>
      </c>
      <c r="F12" s="90"/>
      <c r="G12" s="91"/>
      <c r="H12" s="91"/>
      <c r="I12" s="91"/>
      <c r="J12" s="91"/>
      <c r="K12" s="91"/>
      <c r="L12" s="91"/>
      <c r="M12" s="91"/>
      <c r="N12" s="91"/>
      <c r="O12" s="92"/>
      <c r="P12" s="82"/>
    </row>
    <row r="13" spans="2:16" ht="15" customHeight="1" x14ac:dyDescent="0.25">
      <c r="F13" s="90"/>
      <c r="G13" s="91"/>
      <c r="H13" s="91"/>
      <c r="I13" s="91"/>
      <c r="J13" s="91"/>
      <c r="K13" s="91"/>
      <c r="L13" s="91"/>
      <c r="M13" s="91"/>
      <c r="N13" s="91"/>
      <c r="O13" s="92"/>
      <c r="P13" s="82"/>
    </row>
    <row r="14" spans="2:16" ht="15" customHeight="1" x14ac:dyDescent="0.25">
      <c r="F14" s="90"/>
      <c r="G14" s="91"/>
      <c r="H14" s="91"/>
      <c r="I14" s="91"/>
      <c r="J14" s="91"/>
      <c r="K14" s="91"/>
      <c r="L14" s="91"/>
      <c r="M14" s="91"/>
      <c r="N14" s="91"/>
      <c r="O14" s="92"/>
      <c r="P14" s="82"/>
    </row>
    <row r="15" spans="2:16" ht="15" customHeight="1" thickBot="1" x14ac:dyDescent="0.3">
      <c r="F15" s="93"/>
      <c r="G15" s="94"/>
      <c r="H15" s="94"/>
      <c r="I15" s="94"/>
      <c r="J15" s="94"/>
      <c r="K15" s="94"/>
      <c r="L15" s="94"/>
      <c r="M15" s="94"/>
      <c r="N15" s="94"/>
      <c r="O15" s="95"/>
      <c r="P15" s="82"/>
    </row>
  </sheetData>
  <mergeCells count="2">
    <mergeCell ref="B2:N3"/>
    <mergeCell ref="F10:O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vt:lpstr>
      <vt:lpstr>2</vt:lpstr>
      <vt:lpstr>3</vt:lpstr>
      <vt:lpstr>4</vt:lpstr>
      <vt:lpstr>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2015-06-05T18:17:20Z</dcterms:created>
  <dcterms:modified xsi:type="dcterms:W3CDTF">2026-08-20T18:10:15Z</dcterms:modified>
</cp:coreProperties>
</file>