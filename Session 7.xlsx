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A7C66DD8-3669-47B5-A30D-485D28CD785F}"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4" l="1"/>
  <c r="C10" i="4"/>
  <c r="C9" i="4"/>
  <c r="H8" i="3"/>
  <c r="H8" i="1"/>
</calcChain>
</file>

<file path=xl/sharedStrings.xml><?xml version="1.0" encoding="utf-8"?>
<sst xmlns="http://schemas.openxmlformats.org/spreadsheetml/2006/main" count="44" uniqueCount="42">
  <si>
    <t>Given the following data from an e-commerce app: out of 500 users, 120 bought phone accessories, 80 bought a phone, and 50 bought both, calculate the probability that a user bought a phone given they already bought accessories (P(Phone|Accessories)).</t>
  </si>
  <si>
    <t>users</t>
  </si>
  <si>
    <t>Phone Accessories:</t>
  </si>
  <si>
    <t>Phone &amp; Accessories:</t>
  </si>
  <si>
    <t>Phone :</t>
  </si>
  <si>
    <t>Total user:</t>
  </si>
  <si>
    <t>Probability of Phone/Accessories :</t>
  </si>
  <si>
    <t>Probability of Phone &amp; Accessories</t>
  </si>
  <si>
    <t>Probability of Phone Accessories</t>
  </si>
  <si>
    <t>Probability:</t>
  </si>
  <si>
    <t>Imagine you are analyzing Flipkart's user data: 30% of users buy headphones, and among those, 40% later buy a smartphone. Calculate the conditional probability that a randomly selected user buys a smartphone, given they have already bought headphones.&lt;br&gt;&lt;br&gt;&lt;em&gt;&lt;strong&gt;Hint:&lt;/strong&gt; Use the formula for conditional probability: P(A|B) = P(A and B) / P(B).&lt;/em&gt;</t>
  </si>
  <si>
    <t>User brought</t>
  </si>
  <si>
    <t xml:space="preserve">[P(H)]Headphones: </t>
  </si>
  <si>
    <t>=</t>
  </si>
  <si>
    <t>A randomly selected user buys a smartphone already have headphones are 40%. As it already given in the question that out of those who buy headphones there are 40% who later buy smartphone.</t>
  </si>
  <si>
    <t xml:space="preserve">[P(S/H)]Headphones &amp; Smartphones: </t>
  </si>
  <si>
    <t>Variable</t>
  </si>
  <si>
    <t>Value</t>
  </si>
  <si>
    <t>P(Email | Churn)</t>
  </si>
  <si>
    <t>P(Email)</t>
  </si>
  <si>
    <t>Write a Python function bayes_churn_probability(prior_churn, prob_email_given_churn, prob_email) that uses Bayes’ Theorem to compute the probability a user will churn given they received a 'we miss you' email. Test your function with prior_churn=0.15, prob_email_given_churn=0.6, prob_email=0.25.</t>
  </si>
  <si>
    <t>Prior probability of churn[P(Churn)]</t>
  </si>
  <si>
    <t>P(Churn∣Email) =</t>
  </si>
  <si>
    <t>P(Churn) * P(Email/Churn)</t>
  </si>
  <si>
    <t>A digital wallet app detects fraud based on spending patterns. If 2% of all transactions are fraudulent, and the app’s alert system correctly flags 90% of fraudulent transactions but also falsely flags 5% of normal transactions, use Bayes’ Theorem to calculate the probability that a transaction is actually fraudulent when flagged by the alert system.&lt;br&gt;&lt;br&gt;&lt;em&gt;&lt;strong&gt;Hint:&lt;/strong&gt; Define events: F = fraud, A = alert. Use Bayes’ formula: P(F|A) = [P(A|F) * P(F)] / P(A).&lt;/em&gt;</t>
  </si>
  <si>
    <t>P(A)</t>
  </si>
  <si>
    <t>P(F) Fraud</t>
  </si>
  <si>
    <t>P(A/F) Correct</t>
  </si>
  <si>
    <t>P(F/A) =</t>
  </si>
  <si>
    <t>P(F)*P(A/F)</t>
  </si>
  <si>
    <t>P(NF) Non- Fraud</t>
  </si>
  <si>
    <t xml:space="preserve">P(A) Alert </t>
  </si>
  <si>
    <t>P(A/F) In-Correct</t>
  </si>
  <si>
    <t>Use ChatGPT or another AI tool to generate a real-world scenario where conditional probability is used in a food delivery app (like Zomato or Swiggy), and explain how Bayes’ Theorem could help improve their recommendation system. Paste the AI’s output and add one sentence of your own analysis.</t>
  </si>
  <si>
    <t>AI-Generated Output</t>
  </si>
  <si>
    <t>Real-world scenario:</t>
  </si>
  <si>
    <t>A food delivery app such as Zomato or Swiggy can use conditional probability to predict what a customer is likely to order. For example, if a customer frequently orders pizza, the app can calculate the probability that they will order pizza again when they are browsing Italian restaurants.</t>
  </si>
  <si>
    <t>Using Bayes’ Theorem:</t>
  </si>
  <si>
    <t>The app can combine information such as the customer's previous orders, time of day, location, cuisine preferences, and current browsing behavior. Bayes’ Theorem can update the probability of a customer choosing a particular restaurant or dish when new information becomes available.</t>
  </si>
  <si>
    <t>For example, if a customer has previously ordered biryani several times and is currently searching for Indian food, the probability that they will order biryani can increase. The recommendation system can use this updated probability to show biryani or similar dishes near the top of the customer's recommendations.</t>
  </si>
  <si>
    <t>My analysis</t>
  </si>
  <si>
    <t>Bayes’ Theorem can make food recommendations more personalized by continuously updating what the app thinks a customer is most likely to order based on their latest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</si>
</sst>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9"/>
      <color rgb="FF878A99"/>
      <name val="Segoe UI"/>
      <family val="2"/>
    </font>
    <font>
      <b/>
      <sz val="9"/>
      <color rgb="FF878A99"/>
      <name val="Segoe UI"/>
      <family val="2"/>
    </font>
    <font>
      <b/>
      <sz val="13.5"/>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4" fillId="0" borderId="1" xfId="0" applyFont="1" applyBorder="1" applyAlignment="1">
      <alignment horizontal="left" vertical="center" wrapText="1"/>
    </xf>
    <xf numFmtId="0" fontId="0" fillId="0" borderId="0" xfId="0" applyAlignment="1">
      <alignment horizontal="right"/>
    </xf>
    <xf numFmtId="0" fontId="0" fillId="0" borderId="1" xfId="0" applyBorder="1" applyAlignment="1">
      <alignment horizontal="right"/>
    </xf>
    <xf numFmtId="0" fontId="0" fillId="0" borderId="1" xfId="0" applyBorder="1"/>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0" fillId="0" borderId="9" xfId="0" applyBorder="1"/>
    <xf numFmtId="0" fontId="0" fillId="0" borderId="2" xfId="0" applyBorder="1"/>
    <xf numFmtId="0" fontId="0" fillId="0" borderId="3" xfId="0" applyBorder="1"/>
    <xf numFmtId="0" fontId="0" fillId="2" borderId="10" xfId="0" applyFill="1" applyBorder="1"/>
    <xf numFmtId="10" fontId="0" fillId="2" borderId="9" xfId="1" applyNumberFormat="1" applyFont="1" applyFill="1" applyBorder="1"/>
    <xf numFmtId="0" fontId="4" fillId="0" borderId="1" xfId="0" applyFont="1" applyBorder="1" applyAlignment="1">
      <alignment horizontal="left" vertical="top" wrapText="1"/>
    </xf>
    <xf numFmtId="0" fontId="0" fillId="0" borderId="0" xfId="0" applyAlignment="1">
      <alignment horizontal="right"/>
    </xf>
    <xf numFmtId="0" fontId="0" fillId="0" borderId="0" xfId="0" applyNumberFormat="1"/>
    <xf numFmtId="0" fontId="0" fillId="0" borderId="0" xfId="0" applyBorder="1"/>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3" fillId="0" borderId="5" xfId="0" applyFont="1" applyBorder="1" applyAlignment="1">
      <alignment vertical="center"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9" fontId="2" fillId="0" borderId="1" xfId="1" applyFont="1" applyBorder="1" applyAlignment="1">
      <alignment horizontal="center" vertical="center"/>
    </xf>
    <xf numFmtId="9" fontId="2" fillId="0" borderId="1" xfId="1" applyFont="1" applyBorder="1" applyAlignment="1">
      <alignment horizontal="right" vertical="center"/>
    </xf>
    <xf numFmtId="9" fontId="0" fillId="0" borderId="1" xfId="1" applyFont="1" applyBorder="1" applyAlignment="1">
      <alignment vertical="center"/>
    </xf>
    <xf numFmtId="2" fontId="0" fillId="0" borderId="1" xfId="1" applyNumberFormat="1" applyFont="1" applyBorder="1" applyAlignment="1">
      <alignment horizontal="right" vertical="center"/>
    </xf>
    <xf numFmtId="0" fontId="0" fillId="0" borderId="5" xfId="0" applyBorder="1" applyAlignment="1">
      <alignment horizontal="right"/>
    </xf>
    <xf numFmtId="0" fontId="0" fillId="0" borderId="4" xfId="0" applyBorder="1" applyAlignment="1">
      <alignment horizontal="right"/>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7" xfId="0" applyBorder="1"/>
    <xf numFmtId="0" fontId="0" fillId="0" borderId="0" xfId="0" applyBorder="1" applyAlignment="1">
      <alignment horizontal="center"/>
    </xf>
    <xf numFmtId="0" fontId="0" fillId="0" borderId="18" xfId="0" applyBorder="1" applyAlignment="1">
      <alignment horizontal="center"/>
    </xf>
    <xf numFmtId="0" fontId="0" fillId="0" borderId="10" xfId="0" applyBorder="1" applyAlignment="1">
      <alignment horizontal="right"/>
    </xf>
    <xf numFmtId="0" fontId="0" fillId="0" borderId="8" xfId="0" applyBorder="1" applyAlignment="1">
      <alignment horizontal="right"/>
    </xf>
    <xf numFmtId="0" fontId="0" fillId="2" borderId="8" xfId="0" applyFill="1" applyBorder="1" applyAlignment="1">
      <alignment horizontal="left"/>
    </xf>
    <xf numFmtId="0" fontId="0" fillId="2" borderId="9" xfId="0" applyFill="1" applyBorder="1" applyAlignment="1">
      <alignment horizontal="left"/>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0" borderId="17" xfId="0" applyFont="1" applyBorder="1" applyAlignment="1">
      <alignment horizontal="left" vertical="center" wrapText="1"/>
    </xf>
    <xf numFmtId="0" fontId="4" fillId="0" borderId="0" xfId="0" applyFont="1" applyBorder="1" applyAlignment="1">
      <alignment horizontal="left" vertical="center" wrapText="1"/>
    </xf>
    <xf numFmtId="0" fontId="4" fillId="0" borderId="18" xfId="0" applyFont="1" applyBorder="1" applyAlignment="1">
      <alignment horizontal="left" vertical="center" wrapText="1"/>
    </xf>
    <xf numFmtId="0" fontId="4" fillId="0" borderId="7"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0" fillId="0" borderId="0" xfId="0" applyNumberFormat="1"/>
    <xf numFmtId="0" fontId="0" fillId="0" borderId="5" xfId="0" applyBorder="1" applyAlignment="1">
      <alignment horizontal="right"/>
    </xf>
    <xf numFmtId="0" fontId="0" fillId="0" borderId="6" xfId="0" applyBorder="1" applyAlignment="1">
      <alignment horizontal="center"/>
    </xf>
    <xf numFmtId="0" fontId="0" fillId="0" borderId="10" xfId="0" applyBorder="1" applyAlignment="1">
      <alignment horizontal="right"/>
    </xf>
    <xf numFmtId="0" fontId="4" fillId="0" borderId="5" xfId="0" applyFont="1" applyBorder="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0" xfId="0" applyFont="1" applyBorder="1"/>
    <xf numFmtId="0" fontId="0" fillId="0" borderId="0" xfId="0" applyBorder="1" applyAlignment="1">
      <alignment wrapText="1"/>
    </xf>
    <xf numFmtId="0" fontId="5" fillId="0" borderId="11" xfId="0"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2" fillId="0" borderId="19" xfId="0" applyFont="1" applyBorder="1"/>
    <xf numFmtId="0" fontId="2" fillId="0" borderId="20" xfId="0" applyFont="1" applyBorder="1"/>
    <xf numFmtId="0" fontId="0" fillId="0" borderId="19" xfId="0" applyBorder="1" applyAlignment="1">
      <alignment wrapText="1"/>
    </xf>
    <xf numFmtId="0" fontId="0" fillId="0" borderId="20" xfId="0" applyBorder="1" applyAlignment="1">
      <alignment wrapText="1"/>
    </xf>
    <xf numFmtId="0" fontId="5" fillId="0" borderId="21" xfId="0" applyFont="1" applyBorder="1" applyAlignment="1">
      <alignment vertical="center"/>
    </xf>
    <xf numFmtId="0" fontId="5" fillId="0" borderId="22" xfId="0" applyFont="1" applyBorder="1" applyAlignment="1">
      <alignment vertical="center"/>
    </xf>
    <xf numFmtId="0" fontId="5" fillId="0" borderId="23" xfId="0" applyFont="1" applyBorder="1" applyAlignment="1">
      <alignment vertical="center"/>
    </xf>
    <xf numFmtId="0" fontId="2" fillId="0" borderId="11" xfId="0" applyFont="1" applyBorder="1"/>
    <xf numFmtId="0" fontId="2" fillId="0" borderId="12" xfId="0" applyFont="1" applyBorder="1"/>
    <xf numFmtId="0" fontId="2" fillId="0" borderId="13" xfId="0" applyFont="1" applyBorder="1"/>
    <xf numFmtId="0" fontId="0" fillId="0" borderId="14" xfId="0" applyFont="1" applyBorder="1"/>
    <xf numFmtId="0" fontId="0" fillId="0" borderId="15" xfId="0" applyFont="1" applyBorder="1"/>
    <xf numFmtId="0" fontId="0" fillId="0" borderId="16"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0"/>
  <sheetViews>
    <sheetView workbookViewId="0">
      <selection activeCell="K16" sqref="K16"/>
    </sheetView>
  </sheetViews>
  <sheetFormatPr defaultRowHeight="15" x14ac:dyDescent="0.25"/>
  <cols>
    <col min="2" max="2" width="10.28515625" customWidth="1"/>
    <col min="3" max="3" width="9.85546875" customWidth="1"/>
    <col min="7" max="7" width="11.28515625" bestFit="1" customWidth="1"/>
    <col min="8" max="8" width="12" bestFit="1" customWidth="1"/>
  </cols>
  <sheetData>
    <row r="2" spans="2:15" x14ac:dyDescent="0.25">
      <c r="B2" s="1" t="s">
        <v>0</v>
      </c>
      <c r="C2" s="1"/>
      <c r="D2" s="1"/>
      <c r="E2" s="1"/>
      <c r="F2" s="1"/>
      <c r="G2" s="1"/>
      <c r="H2" s="1"/>
      <c r="I2" s="1"/>
      <c r="J2" s="1"/>
      <c r="K2" s="1"/>
      <c r="L2" s="1"/>
      <c r="M2" s="1"/>
      <c r="N2" s="1"/>
      <c r="O2" s="1"/>
    </row>
    <row r="3" spans="2:15" x14ac:dyDescent="0.25">
      <c r="B3" s="1"/>
      <c r="C3" s="1"/>
      <c r="D3" s="1"/>
      <c r="E3" s="1"/>
      <c r="F3" s="1"/>
      <c r="G3" s="1"/>
      <c r="H3" s="1"/>
      <c r="I3" s="1"/>
      <c r="J3" s="1"/>
      <c r="K3" s="1"/>
      <c r="L3" s="1"/>
      <c r="M3" s="1"/>
      <c r="N3" s="1"/>
      <c r="O3" s="1"/>
    </row>
    <row r="5" spans="2:15" x14ac:dyDescent="0.25">
      <c r="B5" s="4" t="s">
        <v>5</v>
      </c>
      <c r="C5" s="4">
        <v>500</v>
      </c>
      <c r="G5" s="9" t="s">
        <v>6</v>
      </c>
      <c r="H5" s="8"/>
      <c r="I5" s="8"/>
      <c r="J5" s="12" t="s">
        <v>7</v>
      </c>
      <c r="K5" s="12"/>
      <c r="L5" s="12"/>
      <c r="M5" s="13"/>
    </row>
    <row r="6" spans="2:15" x14ac:dyDescent="0.25">
      <c r="G6" s="10"/>
      <c r="H6" s="11"/>
      <c r="I6" s="11"/>
      <c r="J6" s="14" t="s">
        <v>8</v>
      </c>
      <c r="K6" s="14"/>
      <c r="L6" s="14"/>
      <c r="M6" s="15"/>
    </row>
    <row r="7" spans="2:15" x14ac:dyDescent="0.25">
      <c r="B7" s="6"/>
      <c r="C7" s="6"/>
      <c r="D7" s="7" t="s">
        <v>1</v>
      </c>
    </row>
    <row r="8" spans="2:15" x14ac:dyDescent="0.25">
      <c r="B8" s="3" t="s">
        <v>4</v>
      </c>
      <c r="C8" s="3"/>
      <c r="D8" s="7">
        <v>80</v>
      </c>
      <c r="G8" s="16" t="s">
        <v>9</v>
      </c>
      <c r="H8" s="17">
        <f>D10/D9</f>
        <v>0.41666666666666669</v>
      </c>
    </row>
    <row r="9" spans="2:15" x14ac:dyDescent="0.25">
      <c r="B9" s="3" t="s">
        <v>2</v>
      </c>
      <c r="C9" s="3"/>
      <c r="D9" s="7">
        <v>120</v>
      </c>
    </row>
    <row r="10" spans="2:15" x14ac:dyDescent="0.25">
      <c r="B10" s="3" t="s">
        <v>3</v>
      </c>
      <c r="C10" s="3"/>
      <c r="D10" s="7">
        <v>50</v>
      </c>
    </row>
  </sheetData>
  <mergeCells count="8">
    <mergeCell ref="J6:M6"/>
    <mergeCell ref="B2:O3"/>
    <mergeCell ref="B8:C8"/>
    <mergeCell ref="B9:C9"/>
    <mergeCell ref="B10:C10"/>
    <mergeCell ref="B7:C7"/>
    <mergeCell ref="G5:I5"/>
    <mergeCell ref="J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90A0-CC0D-4930-90F5-3E851EEBE21C}">
  <dimension ref="B2:Q12"/>
  <sheetViews>
    <sheetView workbookViewId="0">
      <selection activeCell="E15" sqref="E15"/>
    </sheetView>
  </sheetViews>
  <sheetFormatPr defaultRowHeight="15" x14ac:dyDescent="0.25"/>
  <cols>
    <col min="2" max="2" width="11.28515625" customWidth="1"/>
    <col min="3" max="3" width="10.28515625" customWidth="1"/>
    <col min="4" max="4" width="13.5703125" customWidth="1"/>
  </cols>
  <sheetData>
    <row r="2" spans="2:17" ht="18" customHeight="1" x14ac:dyDescent="0.25">
      <c r="B2" s="18" t="s">
        <v>10</v>
      </c>
      <c r="C2" s="18"/>
      <c r="D2" s="18"/>
      <c r="E2" s="18"/>
      <c r="F2" s="18"/>
      <c r="G2" s="18"/>
      <c r="H2" s="18"/>
      <c r="I2" s="18"/>
      <c r="J2" s="18"/>
      <c r="K2" s="18"/>
      <c r="L2" s="18"/>
      <c r="M2" s="18"/>
      <c r="N2" s="18"/>
      <c r="O2" s="18"/>
      <c r="P2" s="18"/>
      <c r="Q2" s="18"/>
    </row>
    <row r="3" spans="2:17" ht="21.75" customHeight="1" x14ac:dyDescent="0.25">
      <c r="B3" s="18"/>
      <c r="C3" s="18"/>
      <c r="D3" s="18"/>
      <c r="E3" s="18"/>
      <c r="F3" s="18"/>
      <c r="G3" s="18"/>
      <c r="H3" s="18"/>
      <c r="I3" s="18"/>
      <c r="J3" s="18"/>
      <c r="K3" s="18"/>
      <c r="L3" s="18"/>
      <c r="M3" s="18"/>
      <c r="N3" s="18"/>
      <c r="O3" s="18"/>
      <c r="P3" s="18"/>
      <c r="Q3" s="18"/>
    </row>
    <row r="5" spans="2:17" x14ac:dyDescent="0.25">
      <c r="B5" s="5" t="s">
        <v>11</v>
      </c>
      <c r="C5" s="5"/>
      <c r="D5" s="5"/>
    </row>
    <row r="6" spans="2:17" x14ac:dyDescent="0.25">
      <c r="B6" s="2" t="s">
        <v>12</v>
      </c>
      <c r="C6" s="2"/>
      <c r="D6" s="2"/>
      <c r="E6" s="20">
        <v>0.3</v>
      </c>
    </row>
    <row r="7" spans="2:17" x14ac:dyDescent="0.25">
      <c r="B7" s="2" t="s">
        <v>15</v>
      </c>
      <c r="C7" s="2"/>
      <c r="D7" s="2"/>
      <c r="E7" s="20">
        <v>0.4</v>
      </c>
    </row>
    <row r="9" spans="2:17" ht="15.75" thickBot="1" x14ac:dyDescent="0.3">
      <c r="B9" s="19"/>
    </row>
    <row r="10" spans="2:17" x14ac:dyDescent="0.25">
      <c r="B10" s="22" t="s">
        <v>14</v>
      </c>
      <c r="C10" s="23"/>
      <c r="D10" s="23"/>
      <c r="E10" s="23"/>
      <c r="F10" s="23"/>
      <c r="G10" s="23"/>
      <c r="H10" s="23"/>
      <c r="I10" s="23"/>
      <c r="J10" s="23"/>
      <c r="K10" s="23"/>
      <c r="L10" s="24"/>
    </row>
    <row r="11" spans="2:17" ht="15.75" thickBot="1" x14ac:dyDescent="0.3">
      <c r="B11" s="25"/>
      <c r="C11" s="26"/>
      <c r="D11" s="26"/>
      <c r="E11" s="26"/>
      <c r="F11" s="26"/>
      <c r="G11" s="26"/>
      <c r="H11" s="26"/>
      <c r="I11" s="26"/>
      <c r="J11" s="26"/>
      <c r="K11" s="26"/>
      <c r="L11" s="27"/>
    </row>
    <row r="12" spans="2:17" x14ac:dyDescent="0.25">
      <c r="C12" s="20"/>
    </row>
  </sheetData>
  <mergeCells count="5">
    <mergeCell ref="B10:L11"/>
    <mergeCell ref="B2:Q3"/>
    <mergeCell ref="B5:D5"/>
    <mergeCell ref="B6:D6"/>
    <mergeCell ref="B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94B5-7397-423D-AC4E-AB5F6F6C355B}">
  <dimension ref="B2:O8"/>
  <sheetViews>
    <sheetView workbookViewId="0">
      <selection activeCell="I16" sqref="I16"/>
    </sheetView>
  </sheetViews>
  <sheetFormatPr defaultRowHeight="15" x14ac:dyDescent="0.25"/>
  <cols>
    <col min="2" max="2" width="33.140625" bestFit="1" customWidth="1"/>
    <col min="3" max="3" width="8.85546875" customWidth="1"/>
  </cols>
  <sheetData>
    <row r="2" spans="2:15" x14ac:dyDescent="0.25">
      <c r="B2" s="28" t="s">
        <v>20</v>
      </c>
      <c r="C2" s="29"/>
      <c r="D2" s="29"/>
      <c r="E2" s="29"/>
      <c r="F2" s="29"/>
      <c r="G2" s="29"/>
      <c r="H2" s="29"/>
      <c r="I2" s="29"/>
      <c r="J2" s="29"/>
      <c r="K2" s="29"/>
      <c r="L2" s="29"/>
      <c r="M2" s="29"/>
      <c r="N2" s="29"/>
      <c r="O2" s="30"/>
    </row>
    <row r="3" spans="2:15" x14ac:dyDescent="0.25">
      <c r="B3" s="31"/>
      <c r="C3" s="32"/>
      <c r="D3" s="32"/>
      <c r="E3" s="32"/>
      <c r="F3" s="32"/>
      <c r="G3" s="32"/>
      <c r="H3" s="32"/>
      <c r="I3" s="32"/>
      <c r="J3" s="32"/>
      <c r="K3" s="32"/>
      <c r="L3" s="32"/>
      <c r="M3" s="32"/>
      <c r="N3" s="32"/>
      <c r="O3" s="33"/>
    </row>
    <row r="5" spans="2:15" x14ac:dyDescent="0.25">
      <c r="B5" s="34" t="s">
        <v>16</v>
      </c>
      <c r="C5" s="35" t="s">
        <v>17</v>
      </c>
    </row>
    <row r="6" spans="2:15" x14ac:dyDescent="0.25">
      <c r="B6" s="36" t="s">
        <v>21</v>
      </c>
      <c r="C6" s="37">
        <v>0.15</v>
      </c>
      <c r="F6" s="38" t="s">
        <v>22</v>
      </c>
      <c r="G6" s="39"/>
      <c r="H6" s="40" t="s">
        <v>23</v>
      </c>
      <c r="I6" s="40"/>
      <c r="J6" s="41"/>
    </row>
    <row r="7" spans="2:15" x14ac:dyDescent="0.25">
      <c r="B7" s="36" t="s">
        <v>18</v>
      </c>
      <c r="C7" s="37">
        <v>0.6</v>
      </c>
      <c r="F7" s="42"/>
      <c r="G7" s="21"/>
      <c r="H7" s="43" t="s">
        <v>19</v>
      </c>
      <c r="I7" s="43"/>
      <c r="J7" s="44"/>
    </row>
    <row r="8" spans="2:15" x14ac:dyDescent="0.25">
      <c r="B8" s="36" t="s">
        <v>19</v>
      </c>
      <c r="C8" s="37">
        <v>0.25</v>
      </c>
      <c r="F8" s="45" t="s">
        <v>13</v>
      </c>
      <c r="G8" s="46"/>
      <c r="H8" s="47">
        <f>(C6*C7)/C8</f>
        <v>0.36</v>
      </c>
      <c r="I8" s="47"/>
      <c r="J8" s="48"/>
    </row>
  </sheetData>
  <mergeCells count="6">
    <mergeCell ref="B2:O3"/>
    <mergeCell ref="F6:G6"/>
    <mergeCell ref="H6:J6"/>
    <mergeCell ref="H7:J7"/>
    <mergeCell ref="H8:J8"/>
    <mergeCell ref="F8: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779A-8F08-4FC3-8B10-8CFF8235663D}">
  <dimension ref="B2:R10"/>
  <sheetViews>
    <sheetView workbookViewId="0">
      <selection activeCell="B15" sqref="B15"/>
    </sheetView>
  </sheetViews>
  <sheetFormatPr defaultRowHeight="15" x14ac:dyDescent="0.25"/>
  <cols>
    <col min="2" max="2" width="17.7109375" bestFit="1" customWidth="1"/>
    <col min="7" max="7" width="11.28515625" bestFit="1" customWidth="1"/>
  </cols>
  <sheetData>
    <row r="2" spans="2:18" x14ac:dyDescent="0.25">
      <c r="B2" s="49" t="s">
        <v>24</v>
      </c>
      <c r="C2" s="50"/>
      <c r="D2" s="50"/>
      <c r="E2" s="50"/>
      <c r="F2" s="50"/>
      <c r="G2" s="50"/>
      <c r="H2" s="50"/>
      <c r="I2" s="50"/>
      <c r="J2" s="50"/>
      <c r="K2" s="50"/>
      <c r="L2" s="50"/>
      <c r="M2" s="50"/>
      <c r="N2" s="50"/>
      <c r="O2" s="50"/>
      <c r="P2" s="50"/>
      <c r="Q2" s="50"/>
      <c r="R2" s="51"/>
    </row>
    <row r="3" spans="2:18" x14ac:dyDescent="0.25">
      <c r="B3" s="52"/>
      <c r="C3" s="53"/>
      <c r="D3" s="53"/>
      <c r="E3" s="53"/>
      <c r="F3" s="53"/>
      <c r="G3" s="53"/>
      <c r="H3" s="53"/>
      <c r="I3" s="53"/>
      <c r="J3" s="53"/>
      <c r="K3" s="53"/>
      <c r="L3" s="53"/>
      <c r="M3" s="53"/>
      <c r="N3" s="53"/>
      <c r="O3" s="53"/>
      <c r="P3" s="53"/>
      <c r="Q3" s="53"/>
      <c r="R3" s="54"/>
    </row>
    <row r="4" spans="2:18" x14ac:dyDescent="0.25">
      <c r="B4" s="55"/>
      <c r="C4" s="56"/>
      <c r="D4" s="56"/>
      <c r="E4" s="56"/>
      <c r="F4" s="56"/>
      <c r="G4" s="56"/>
      <c r="H4" s="56"/>
      <c r="I4" s="56"/>
      <c r="J4" s="56"/>
      <c r="K4" s="56"/>
      <c r="L4" s="56"/>
      <c r="M4" s="56"/>
      <c r="N4" s="56"/>
      <c r="O4" s="56"/>
      <c r="P4" s="56"/>
      <c r="Q4" s="56"/>
      <c r="R4" s="57"/>
    </row>
    <row r="6" spans="2:18" x14ac:dyDescent="0.25">
      <c r="B6" t="s">
        <v>26</v>
      </c>
      <c r="C6">
        <v>0.02</v>
      </c>
      <c r="F6" s="59" t="s">
        <v>28</v>
      </c>
      <c r="G6" s="60" t="s">
        <v>29</v>
      </c>
    </row>
    <row r="7" spans="2:18" x14ac:dyDescent="0.25">
      <c r="B7" t="s">
        <v>27</v>
      </c>
      <c r="C7" s="58">
        <v>0.9</v>
      </c>
      <c r="F7" s="42"/>
      <c r="G7" s="60" t="s">
        <v>25</v>
      </c>
    </row>
    <row r="8" spans="2:18" x14ac:dyDescent="0.25">
      <c r="B8" t="s">
        <v>32</v>
      </c>
      <c r="C8">
        <v>0.05</v>
      </c>
      <c r="F8" s="61" t="s">
        <v>13</v>
      </c>
      <c r="G8" s="17">
        <f>(C6*C7)/C10</f>
        <v>0.26865671641791045</v>
      </c>
    </row>
    <row r="9" spans="2:18" x14ac:dyDescent="0.25">
      <c r="B9" t="s">
        <v>30</v>
      </c>
      <c r="C9">
        <f>1-C6</f>
        <v>0.98</v>
      </c>
    </row>
    <row r="10" spans="2:18" x14ac:dyDescent="0.25">
      <c r="B10" t="s">
        <v>31</v>
      </c>
      <c r="C10">
        <f>(C8*C9)+(C7*C6)</f>
        <v>6.7000000000000004E-2</v>
      </c>
    </row>
  </sheetData>
  <mergeCells count="1">
    <mergeCell ref="B2:R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0261-AF4E-4EDA-AF46-6CA936EB9C57}">
  <dimension ref="B2:S16"/>
  <sheetViews>
    <sheetView tabSelected="1" workbookViewId="0">
      <selection activeCell="B18" sqref="B18"/>
    </sheetView>
  </sheetViews>
  <sheetFormatPr defaultRowHeight="15" x14ac:dyDescent="0.25"/>
  <cols>
    <col min="2" max="2" width="10.42578125" customWidth="1"/>
    <col min="3" max="3" width="10.7109375" customWidth="1"/>
  </cols>
  <sheetData>
    <row r="2" spans="2:19" x14ac:dyDescent="0.25">
      <c r="B2" s="62" t="s">
        <v>33</v>
      </c>
      <c r="C2" s="63"/>
      <c r="D2" s="63"/>
      <c r="E2" s="63"/>
      <c r="F2" s="63"/>
      <c r="G2" s="63"/>
      <c r="H2" s="63"/>
      <c r="I2" s="63"/>
      <c r="J2" s="63"/>
      <c r="K2" s="63"/>
      <c r="L2" s="63"/>
      <c r="M2" s="63"/>
      <c r="N2" s="63"/>
      <c r="O2" s="64"/>
    </row>
    <row r="3" spans="2:19" x14ac:dyDescent="0.25">
      <c r="B3" s="65"/>
      <c r="C3" s="66"/>
      <c r="D3" s="66"/>
      <c r="E3" s="66"/>
      <c r="F3" s="66"/>
      <c r="G3" s="66"/>
      <c r="H3" s="66"/>
      <c r="I3" s="66"/>
      <c r="J3" s="66"/>
      <c r="K3" s="66"/>
      <c r="L3" s="66"/>
      <c r="M3" s="66"/>
      <c r="N3" s="66"/>
      <c r="O3" s="67"/>
    </row>
    <row r="4" spans="2:19" ht="15.75" thickBot="1" x14ac:dyDescent="0.3"/>
    <row r="5" spans="2:19" ht="18.75" thickBot="1" x14ac:dyDescent="0.3">
      <c r="B5" s="77" t="s">
        <v>34</v>
      </c>
      <c r="C5" s="78"/>
      <c r="D5" s="78"/>
      <c r="E5" s="78"/>
      <c r="F5" s="78"/>
      <c r="G5" s="78"/>
      <c r="H5" s="78"/>
      <c r="I5" s="78"/>
      <c r="J5" s="78"/>
      <c r="K5" s="78"/>
      <c r="L5" s="78"/>
      <c r="M5" s="78"/>
      <c r="N5" s="78"/>
      <c r="O5" s="78"/>
      <c r="P5" s="78"/>
      <c r="Q5" s="78"/>
      <c r="R5" s="78"/>
      <c r="S5" s="79"/>
    </row>
    <row r="6" spans="2:19" x14ac:dyDescent="0.25">
      <c r="B6" s="80" t="s">
        <v>35</v>
      </c>
      <c r="C6" s="81"/>
      <c r="D6" s="81"/>
      <c r="E6" s="81"/>
      <c r="F6" s="81"/>
      <c r="G6" s="81"/>
      <c r="H6" s="81"/>
      <c r="I6" s="81"/>
      <c r="J6" s="81"/>
      <c r="K6" s="81"/>
      <c r="L6" s="81"/>
      <c r="M6" s="81"/>
      <c r="N6" s="81"/>
      <c r="O6" s="81"/>
      <c r="P6" s="81"/>
      <c r="Q6" s="81"/>
      <c r="R6" s="81"/>
      <c r="S6" s="82"/>
    </row>
    <row r="7" spans="2:19" x14ac:dyDescent="0.25">
      <c r="B7" s="75" t="s">
        <v>36</v>
      </c>
      <c r="C7" s="69"/>
      <c r="D7" s="69"/>
      <c r="E7" s="69"/>
      <c r="F7" s="69"/>
      <c r="G7" s="69"/>
      <c r="H7" s="69"/>
      <c r="I7" s="69"/>
      <c r="J7" s="69"/>
      <c r="K7" s="69"/>
      <c r="L7" s="69"/>
      <c r="M7" s="69"/>
      <c r="N7" s="69"/>
      <c r="O7" s="69"/>
      <c r="P7" s="69"/>
      <c r="Q7" s="69"/>
      <c r="R7" s="69"/>
      <c r="S7" s="76"/>
    </row>
    <row r="8" spans="2:19" ht="15.75" thickBot="1" x14ac:dyDescent="0.3">
      <c r="B8" s="25"/>
      <c r="C8" s="26"/>
      <c r="D8" s="26"/>
      <c r="E8" s="26"/>
      <c r="F8" s="26"/>
      <c r="G8" s="26"/>
      <c r="H8" s="26"/>
      <c r="I8" s="26"/>
      <c r="J8" s="26"/>
      <c r="K8" s="26"/>
      <c r="L8" s="26"/>
      <c r="M8" s="26"/>
      <c r="N8" s="26"/>
      <c r="O8" s="26"/>
      <c r="P8" s="26"/>
      <c r="Q8" s="26"/>
      <c r="R8" s="26"/>
      <c r="S8" s="27"/>
    </row>
    <row r="9" spans="2:19" x14ac:dyDescent="0.25">
      <c r="B9" s="73" t="s">
        <v>37</v>
      </c>
      <c r="C9" s="68"/>
      <c r="D9" s="68"/>
      <c r="E9" s="68"/>
      <c r="F9" s="68"/>
      <c r="G9" s="68"/>
      <c r="H9" s="68"/>
      <c r="I9" s="68"/>
      <c r="J9" s="68"/>
      <c r="K9" s="68"/>
      <c r="L9" s="68"/>
      <c r="M9" s="68"/>
      <c r="N9" s="68"/>
      <c r="O9" s="68"/>
      <c r="P9" s="68"/>
      <c r="Q9" s="68"/>
      <c r="R9" s="68"/>
      <c r="S9" s="74"/>
    </row>
    <row r="10" spans="2:19" x14ac:dyDescent="0.25">
      <c r="B10" s="75" t="s">
        <v>38</v>
      </c>
      <c r="C10" s="69"/>
      <c r="D10" s="69"/>
      <c r="E10" s="69"/>
      <c r="F10" s="69"/>
      <c r="G10" s="69"/>
      <c r="H10" s="69"/>
      <c r="I10" s="69"/>
      <c r="J10" s="69"/>
      <c r="K10" s="69"/>
      <c r="L10" s="69"/>
      <c r="M10" s="69"/>
      <c r="N10" s="69"/>
      <c r="O10" s="69"/>
      <c r="P10" s="69"/>
      <c r="Q10" s="69"/>
      <c r="R10" s="69"/>
      <c r="S10" s="76"/>
    </row>
    <row r="11" spans="2:19" x14ac:dyDescent="0.25">
      <c r="B11" s="75"/>
      <c r="C11" s="69"/>
      <c r="D11" s="69"/>
      <c r="E11" s="69"/>
      <c r="F11" s="69"/>
      <c r="G11" s="69"/>
      <c r="H11" s="69"/>
      <c r="I11" s="69"/>
      <c r="J11" s="69"/>
      <c r="K11" s="69"/>
      <c r="L11" s="69"/>
      <c r="M11" s="69"/>
      <c r="N11" s="69"/>
      <c r="O11" s="69"/>
      <c r="P11" s="69"/>
      <c r="Q11" s="69"/>
      <c r="R11" s="69"/>
      <c r="S11" s="76"/>
    </row>
    <row r="12" spans="2:19" x14ac:dyDescent="0.25">
      <c r="B12" s="75" t="s">
        <v>39</v>
      </c>
      <c r="C12" s="69"/>
      <c r="D12" s="69"/>
      <c r="E12" s="69"/>
      <c r="F12" s="69"/>
      <c r="G12" s="69"/>
      <c r="H12" s="69"/>
      <c r="I12" s="69"/>
      <c r="J12" s="69"/>
      <c r="K12" s="69"/>
      <c r="L12" s="69"/>
      <c r="M12" s="69"/>
      <c r="N12" s="69"/>
      <c r="O12" s="69"/>
      <c r="P12" s="69"/>
      <c r="Q12" s="69"/>
      <c r="R12" s="69"/>
      <c r="S12" s="76"/>
    </row>
    <row r="13" spans="2:19" ht="15.75" thickBot="1" x14ac:dyDescent="0.3">
      <c r="B13" s="25"/>
      <c r="C13" s="26"/>
      <c r="D13" s="26"/>
      <c r="E13" s="26"/>
      <c r="F13" s="26"/>
      <c r="G13" s="26"/>
      <c r="H13" s="26"/>
      <c r="I13" s="26"/>
      <c r="J13" s="26"/>
      <c r="K13" s="26"/>
      <c r="L13" s="26"/>
      <c r="M13" s="26"/>
      <c r="N13" s="26"/>
      <c r="O13" s="26"/>
      <c r="P13" s="26"/>
      <c r="Q13" s="26"/>
      <c r="R13" s="26"/>
      <c r="S13" s="27"/>
    </row>
    <row r="14" spans="2:19" ht="15.75" thickBot="1" x14ac:dyDescent="0.3"/>
    <row r="15" spans="2:19" ht="18" x14ac:dyDescent="0.25">
      <c r="B15" s="70" t="s">
        <v>40</v>
      </c>
      <c r="C15" s="71"/>
      <c r="D15" s="71"/>
      <c r="E15" s="71"/>
      <c r="F15" s="71"/>
      <c r="G15" s="71"/>
      <c r="H15" s="71"/>
      <c r="I15" s="71"/>
      <c r="J15" s="71"/>
      <c r="K15" s="71"/>
      <c r="L15" s="71"/>
      <c r="M15" s="71"/>
      <c r="N15" s="71"/>
      <c r="O15" s="71"/>
      <c r="P15" s="71"/>
      <c r="Q15" s="71"/>
      <c r="R15" s="71"/>
      <c r="S15" s="72"/>
    </row>
    <row r="16" spans="2:19" ht="15.75" thickBot="1" x14ac:dyDescent="0.3">
      <c r="B16" s="83" t="s">
        <v>41</v>
      </c>
      <c r="C16" s="84"/>
      <c r="D16" s="84"/>
      <c r="E16" s="84"/>
      <c r="F16" s="84"/>
      <c r="G16" s="84"/>
      <c r="H16" s="84"/>
      <c r="I16" s="84"/>
      <c r="J16" s="84"/>
      <c r="K16" s="84"/>
      <c r="L16" s="84"/>
      <c r="M16" s="84"/>
      <c r="N16" s="84"/>
      <c r="O16" s="84"/>
      <c r="P16" s="84"/>
      <c r="Q16" s="84"/>
      <c r="R16" s="84"/>
      <c r="S16" s="85"/>
    </row>
  </sheetData>
  <mergeCells count="9">
    <mergeCell ref="B12:S13"/>
    <mergeCell ref="B16:S16"/>
    <mergeCell ref="B5:S5"/>
    <mergeCell ref="B6:S6"/>
    <mergeCell ref="B9:S9"/>
    <mergeCell ref="B15:S15"/>
    <mergeCell ref="B2:O3"/>
    <mergeCell ref="B7:S8"/>
    <mergeCell ref="B10:S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2026-08-21T05:00:03Z</dcterms:modified>
</cp:coreProperties>
</file>