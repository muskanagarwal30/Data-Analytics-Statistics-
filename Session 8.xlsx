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0386240B-7A5A-4D2C-9600-ECE60F92D17C}" xr6:coauthVersionLast="47" xr6:coauthVersionMax="47" xr10:uidLastSave="{00000000-0000-0000-0000-000000000000}"/>
  <bookViews>
    <workbookView xWindow="-120" yWindow="-120" windowWidth="20730" windowHeight="11160" activeTab="3" xr2:uid="{00000000-000D-0000-FFFF-FFFF00000000}"/>
  </bookViews>
  <sheets>
    <sheet name="1" sheetId="1" r:id="rId1"/>
    <sheet name="2" sheetId="2" r:id="rId2"/>
    <sheet name="3" sheetId="3" r:id="rId3"/>
    <sheet name="4" sheetId="4" r:id="rId4"/>
    <sheet name="5" sheetId="5" r:id="rId5"/>
  </sheets>
  <definedNames>
    <definedName name="_xlnm._FilterDatabase" localSheetId="3" hidden="1">'4'!$B$7:$P$7</definedName>
    <definedName name="_xlnm._FilterDatabase" localSheetId="4" hidden="1">'5'!$B$9:$P$9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4" l="1"/>
  <c r="D12" i="4"/>
  <c r="D13" i="4"/>
  <c r="D15" i="4"/>
  <c r="D16" i="4"/>
  <c r="D17" i="4"/>
  <c r="D7" i="4"/>
  <c r="D8" i="4"/>
  <c r="D9" i="4"/>
  <c r="D10" i="4"/>
  <c r="D14" i="4"/>
  <c r="D18" i="4"/>
  <c r="H5" i="3"/>
  <c r="I5" i="2"/>
  <c r="C10" i="1"/>
  <c r="C11" i="1"/>
  <c r="C12" i="1"/>
  <c r="C13" i="1"/>
  <c r="C14" i="1"/>
  <c r="C15" i="1"/>
  <c r="C16" i="1"/>
  <c r="C17" i="1"/>
  <c r="C18" i="1"/>
  <c r="C19" i="1"/>
  <c r="C20" i="1"/>
  <c r="C21" i="1"/>
  <c r="C22" i="1"/>
  <c r="C23" i="1"/>
  <c r="C24" i="1"/>
  <c r="C25" i="1"/>
  <c r="C26" i="1"/>
  <c r="C27" i="1"/>
  <c r="C28" i="1"/>
  <c r="C9" i="1"/>
  <c r="C6" i="1"/>
  <c r="H11" i="1" l="1"/>
  <c r="H10" i="1"/>
</calcChain>
</file>

<file path=xl/sharedStrings.xml><?xml version="1.0" encoding="utf-8"?>
<sst xmlns="http://schemas.openxmlformats.org/spreadsheetml/2006/main" count="31" uniqueCount="30">
  <si>
    <t>Simulate a Bernoulli trial in Python to model whether a user successfully logs into their Zomato account (success=1, failure=0) with a given probability of success p=0.85. Run the simulation 20 times and print the results.</t>
  </si>
  <si>
    <t>P(S) success</t>
  </si>
  <si>
    <t>P(F) failure</t>
  </si>
  <si>
    <t>Trail</t>
  </si>
  <si>
    <t>Result</t>
  </si>
  <si>
    <t xml:space="preserve">Successful Login </t>
  </si>
  <si>
    <t>Failed Login</t>
  </si>
  <si>
    <t>Total Failed Login :</t>
  </si>
  <si>
    <t>Total Successful Login :</t>
  </si>
  <si>
    <t>INDICATOR</t>
  </si>
  <si>
    <t>GIVEN</t>
  </si>
  <si>
    <t>RESULT</t>
  </si>
  <si>
    <t>Write a Python function that uses the binomial distribution to calculate the probability of getting exactly 3 successful UPI payments out of 5 attempts on Paytm, if the success rate per payment is 0.9.&lt;br&gt;&lt;br&gt;&lt;em&gt;&lt;strong&gt;Hint:&lt;/strong&gt; Use scipy.stats.binom.pmf for the calculation.&lt;/em&gt;</t>
  </si>
  <si>
    <t xml:space="preserve">TOTAL OUTCOME : </t>
  </si>
  <si>
    <t xml:space="preserve">SUCCESSFUL UPI : </t>
  </si>
  <si>
    <t xml:space="preserve">P(S) : </t>
  </si>
  <si>
    <t xml:space="preserve">Binomial Distribution Probability : </t>
  </si>
  <si>
    <t>Suppose the average number of new playlist creations per minute on Spotify is 4. Use the Poisson distribution to calculate the probability that exactly 6 playlists are created in a given minute.&lt;br&gt;&lt;br&gt;&lt;em&gt;&lt;strong&gt;Hint:&lt;/strong&gt; Use scipy.stats.poisson.pmf.&lt;/em&gt;</t>
  </si>
  <si>
    <t xml:space="preserve">Mean </t>
  </si>
  <si>
    <t>x</t>
  </si>
  <si>
    <t xml:space="preserve">Poisson distribution probability: </t>
  </si>
  <si>
    <t>Given a scenario where Flipkart receives an average of 10 product reviews per hour, write code to simulate and plot the number of reviews received in 12 randomly selected hours using the Poisson distribution.&lt;br&gt;&lt;br&gt;&lt;em&gt;&lt;strong&gt;Hint:&lt;/strong&gt; Use numpy.random.poisson and matplotlib for plotting.&lt;/em&gt;</t>
  </si>
  <si>
    <t>Mean</t>
  </si>
  <si>
    <t>Pick any one of the three distributions (Bernoulli, Binomial, Poisson) and use ChatGPT to generate a real-world analytics use-case from a popular Indian app (like Swiggy, BookMyShow, or IRCTC). Paste the use-case ChatGPT gives you and explain in 2-3 lines why that distribution fits the scenario.</t>
  </si>
  <si>
    <t>X(HRS)</t>
  </si>
  <si>
    <t>Distribution: Binomial Distribution</t>
  </si>
  <si>
    <t>AI-generated real-world analytics use-case:</t>
  </si>
  <si>
    <t>Why Binomial Distribution fits:</t>
  </si>
  <si>
    <r>
      <t xml:space="preserve">The number of orders is fixed (50), and each order has two possible outcomes: </t>
    </r>
    <r>
      <rPr>
        <u/>
        <sz val="14"/>
        <color theme="1"/>
        <rFont val="Calibri"/>
        <family val="2"/>
        <scheme val="minor"/>
      </rPr>
      <t>successful delivery or unsuccessful delivery.</t>
    </r>
    <r>
      <rPr>
        <sz val="14"/>
        <color theme="1"/>
        <rFont val="Calibri"/>
        <family val="2"/>
        <scheme val="minor"/>
      </rPr>
      <t xml:space="preserve"> The probability of success is assumed to remain constant for each order, making the Binomial Distribution suitable for this scenario.</t>
    </r>
  </si>
  <si>
    <r>
      <t>Swiggy:</t>
    </r>
    <r>
      <rPr>
        <sz val="14"/>
        <color theme="1"/>
        <rFont val="Calibri"/>
        <family val="2"/>
        <scheme val="minor"/>
      </rPr>
      <t xml:space="preserve"> Swiggy can use the </t>
    </r>
    <r>
      <rPr>
        <u/>
        <sz val="14"/>
        <color theme="1"/>
        <rFont val="Calibri"/>
        <family val="2"/>
        <scheme val="minor"/>
      </rPr>
      <t>Binomial Distribution</t>
    </r>
    <r>
      <rPr>
        <sz val="14"/>
        <color theme="1"/>
        <rFont val="Calibri"/>
        <family val="2"/>
        <scheme val="minor"/>
      </rPr>
      <t xml:space="preserve"> to analyze the number of successful food deliveries out of a fixed number of orders. For example, if the probability of successfully delivering an order is 0.9, Swiggy can estimate the probability of having exactly 45 successful deliveries out of 50 orders.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</si>
</sst>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9"/>
      <color rgb="FF878A99"/>
      <name val="Segoe UI"/>
      <family val="2"/>
    </font>
    <font>
      <sz val="14"/>
      <color theme="1"/>
      <name val="Calibri"/>
      <family val="2"/>
      <scheme val="minor"/>
    </font>
    <font>
      <b/>
      <sz val="14"/>
      <color theme="1"/>
      <name val="Calibri"/>
      <family val="2"/>
      <scheme val="minor"/>
    </font>
    <font>
      <u/>
      <sz val="14"/>
      <color theme="1"/>
      <name val="Calibri"/>
      <family val="2"/>
      <scheme val="minor"/>
    </font>
    <font>
      <sz val="10"/>
      <color rgb="FF878A99"/>
      <name val="Segoe UI"/>
      <family val="2"/>
    </font>
  </fonts>
  <fills count="3">
    <fill>
      <patternFill patternType="none"/>
    </fill>
    <fill>
      <patternFill patternType="gray125"/>
    </fill>
    <fill>
      <patternFill patternType="solid">
        <fgColor theme="7"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2" fillId="0" borderId="1" xfId="0" applyFont="1" applyBorder="1"/>
    <xf numFmtId="0" fontId="0" fillId="0" borderId="1" xfId="0" applyBorder="1"/>
    <xf numFmtId="0" fontId="0" fillId="0" borderId="1" xfId="0" applyBorder="1" applyAlignment="1">
      <alignment horizontal="right"/>
    </xf>
    <xf numFmtId="0" fontId="0" fillId="0" borderId="1" xfId="0" applyBorder="1" applyAlignment="1">
      <alignment horizontal="center"/>
    </xf>
    <xf numFmtId="0" fontId="2" fillId="0" borderId="0" xfId="0" applyFon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0" borderId="1" xfId="0" applyFont="1" applyBorder="1" applyAlignment="1">
      <alignment vertical="top" wrapText="1"/>
    </xf>
    <xf numFmtId="10" fontId="0" fillId="0" borderId="0" xfId="1" applyNumberFormat="1" applyFont="1"/>
    <xf numFmtId="0" fontId="0" fillId="2" borderId="2" xfId="0" applyFill="1" applyBorder="1"/>
    <xf numFmtId="0" fontId="0" fillId="2" borderId="3" xfId="0" applyFill="1" applyBorder="1"/>
    <xf numFmtId="0" fontId="0" fillId="2" borderId="1" xfId="0" applyFill="1" applyBorder="1" applyAlignment="1">
      <alignment horizontal="right"/>
    </xf>
    <xf numFmtId="0" fontId="0" fillId="2" borderId="2" xfId="0" applyFill="1" applyBorder="1" applyAlignment="1">
      <alignment horizontal="right"/>
    </xf>
    <xf numFmtId="0" fontId="0" fillId="2" borderId="3" xfId="0" applyFill="1" applyBorder="1" applyAlignment="1">
      <alignment horizontal="right"/>
    </xf>
    <xf numFmtId="10" fontId="0" fillId="2" borderId="4" xfId="1" applyNumberFormat="1" applyFont="1" applyFill="1" applyBorder="1" applyAlignment="1">
      <alignment horizontal="left"/>
    </xf>
    <xf numFmtId="10" fontId="0" fillId="0" borderId="1" xfId="1" applyNumberFormat="1" applyFont="1" applyBorder="1"/>
    <xf numFmtId="0" fontId="4" fillId="0" borderId="5" xfId="0" applyFont="1" applyBorder="1" applyAlignment="1">
      <alignment wrapText="1"/>
    </xf>
    <xf numFmtId="0" fontId="4" fillId="0" borderId="0"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4" fillId="0" borderId="5" xfId="0" applyFont="1" applyBorder="1"/>
    <xf numFmtId="0" fontId="4" fillId="0" borderId="0" xfId="0" applyFont="1" applyBorder="1"/>
    <xf numFmtId="0" fontId="4" fillId="0" borderId="6" xfId="0" applyFont="1" applyBorder="1"/>
    <xf numFmtId="0" fontId="3" fillId="0" borderId="5" xfId="0" applyFont="1" applyBorder="1" applyAlignment="1">
      <alignment wrapText="1"/>
    </xf>
    <xf numFmtId="0" fontId="3" fillId="0" borderId="0"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3" fillId="0" borderId="10" xfId="0" applyFont="1" applyBorder="1"/>
    <xf numFmtId="0" fontId="3" fillId="0" borderId="11" xfId="0" applyFont="1" applyBorder="1"/>
    <xf numFmtId="0" fontId="3" fillId="0" borderId="12" xfId="0" applyFont="1" applyBorder="1"/>
    <xf numFmtId="0" fontId="6" fillId="0" borderId="1" xfId="0" applyFont="1" applyBorder="1"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POISSION DISTRIBUTION PROBABILTY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'4'!$C$6</c:f>
              <c:strCache>
                <c:ptCount val="1"/>
                <c:pt idx="0">
                  <c:v>X(HRS)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'4'!$C$7:$C$18</c:f>
              <c:numCache>
                <c:formatCode>General</c:formatCode>
                <c:ptCount val="12"/>
                <c:pt idx="0">
                  <c:v>8</c:v>
                </c:pt>
                <c:pt idx="1">
                  <c:v>13</c:v>
                </c:pt>
                <c:pt idx="2">
                  <c:v>7</c:v>
                </c:pt>
                <c:pt idx="3">
                  <c:v>5</c:v>
                </c:pt>
                <c:pt idx="4">
                  <c:v>7</c:v>
                </c:pt>
                <c:pt idx="5">
                  <c:v>9</c:v>
                </c:pt>
                <c:pt idx="6">
                  <c:v>10</c:v>
                </c:pt>
                <c:pt idx="7">
                  <c:v>9</c:v>
                </c:pt>
                <c:pt idx="8">
                  <c:v>9</c:v>
                </c:pt>
                <c:pt idx="9">
                  <c:v>9</c:v>
                </c:pt>
                <c:pt idx="10">
                  <c:v>9</c:v>
                </c:pt>
                <c:pt idx="11">
                  <c:v>14</c:v>
                </c:pt>
              </c:numCache>
            </c:numRef>
          </c:val>
          <c:extLst>
            <c:ext xmlns:c16="http://schemas.microsoft.com/office/drawing/2014/chart" uri="{C3380CC4-5D6E-409C-BE32-E72D297353CC}">
              <c16:uniqueId val="{00000000-04F8-4372-A034-74BBE00A959B}"/>
            </c:ext>
          </c:extLst>
        </c:ser>
        <c:dLbls>
          <c:showLegendKey val="0"/>
          <c:showVal val="0"/>
          <c:showCatName val="0"/>
          <c:showSerName val="0"/>
          <c:showPercent val="0"/>
          <c:showBubbleSize val="0"/>
        </c:dLbls>
        <c:gapWidth val="219"/>
        <c:overlap val="-27"/>
        <c:axId val="347076559"/>
        <c:axId val="374623871"/>
      </c:barChart>
      <c:lineChart>
        <c:grouping val="standard"/>
        <c:varyColors val="0"/>
        <c:ser>
          <c:idx val="1"/>
          <c:order val="1"/>
          <c:tx>
            <c:strRef>
              <c:f>'4'!$D$6</c:f>
              <c:strCache>
                <c:ptCount val="1"/>
                <c:pt idx="0">
                  <c:v>Poisson distribution probability: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'4'!$D$7:$D$18</c:f>
              <c:numCache>
                <c:formatCode>0.00%</c:formatCode>
                <c:ptCount val="12"/>
                <c:pt idx="0">
                  <c:v>0.11259903214901996</c:v>
                </c:pt>
                <c:pt idx="1">
                  <c:v>7.2907946224436637E-2</c:v>
                </c:pt>
                <c:pt idx="2">
                  <c:v>9.0079225719215977E-2</c:v>
                </c:pt>
                <c:pt idx="3">
                  <c:v>3.7833274802070715E-2</c:v>
                </c:pt>
                <c:pt idx="4">
                  <c:v>9.0079225719215977E-2</c:v>
                </c:pt>
                <c:pt idx="5">
                  <c:v>0.1251100357211333</c:v>
                </c:pt>
                <c:pt idx="6">
                  <c:v>0.1251100357211333</c:v>
                </c:pt>
                <c:pt idx="7">
                  <c:v>0.1251100357211333</c:v>
                </c:pt>
                <c:pt idx="8">
                  <c:v>0.1251100357211333</c:v>
                </c:pt>
                <c:pt idx="9">
                  <c:v>0.1251100357211333</c:v>
                </c:pt>
                <c:pt idx="10">
                  <c:v>0.1251100357211333</c:v>
                </c:pt>
                <c:pt idx="11">
                  <c:v>5.2077104446026187E-2</c:v>
                </c:pt>
              </c:numCache>
            </c:numRef>
          </c:val>
          <c:smooth val="0"/>
          <c:extLst>
            <c:ext xmlns:c16="http://schemas.microsoft.com/office/drawing/2014/chart" uri="{C3380CC4-5D6E-409C-BE32-E72D297353CC}">
              <c16:uniqueId val="{00000001-04F8-4372-A034-74BBE00A959B}"/>
            </c:ext>
          </c:extLst>
        </c:ser>
        <c:dLbls>
          <c:showLegendKey val="0"/>
          <c:showVal val="0"/>
          <c:showCatName val="0"/>
          <c:showSerName val="0"/>
          <c:showPercent val="0"/>
          <c:showBubbleSize val="0"/>
        </c:dLbls>
        <c:marker val="1"/>
        <c:smooth val="0"/>
        <c:axId val="464003311"/>
        <c:axId val="374625311"/>
      </c:lineChart>
      <c:catAx>
        <c:axId val="34707655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623871"/>
        <c:crosses val="autoZero"/>
        <c:auto val="1"/>
        <c:lblAlgn val="ctr"/>
        <c:lblOffset val="100"/>
        <c:noMultiLvlLbl val="0"/>
      </c:catAx>
      <c:valAx>
        <c:axId val="37462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076559"/>
        <c:crosses val="autoZero"/>
        <c:crossBetween val="between"/>
      </c:valAx>
      <c:valAx>
        <c:axId val="37462531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03311"/>
        <c:crosses val="max"/>
        <c:crossBetween val="between"/>
      </c:valAx>
      <c:catAx>
        <c:axId val="464003311"/>
        <c:scaling>
          <c:orientation val="minMax"/>
        </c:scaling>
        <c:delete val="1"/>
        <c:axPos val="b"/>
        <c:majorTickMark val="none"/>
        <c:minorTickMark val="none"/>
        <c:tickLblPos val="nextTo"/>
        <c:crossAx val="374625311"/>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161925</xdr:colOff>
      <xdr:row>3</xdr:row>
      <xdr:rowOff>128587</xdr:rowOff>
    </xdr:from>
    <xdr:to>
      <xdr:col>13</xdr:col>
      <xdr:colOff>152400</xdr:colOff>
      <xdr:row>19</xdr:row>
      <xdr:rowOff>14287</xdr:rowOff>
    </xdr:to>
    <xdr:graphicFrame macro="">
      <xdr:nvGraphicFramePr>
        <xdr:cNvPr id="3" name="Chart 2">
          <a:extLst>
            <a:ext uri="{FF2B5EF4-FFF2-40B4-BE49-F238E27FC236}">
              <a16:creationId xmlns:a16="http://schemas.microsoft.com/office/drawing/2014/main" id="{B36E69DC-5359-2BCD-0C2D-C0297DD9A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28"/>
  <sheetViews>
    <sheetView workbookViewId="0">
      <selection activeCell="H15" sqref="H15"/>
    </sheetView>
  </sheetViews>
  <sheetFormatPr defaultRowHeight="15" x14ac:dyDescent="0.25"/>
  <cols>
    <col min="2" max="2" width="11.5703125" bestFit="1" customWidth="1"/>
    <col min="3" max="3" width="9.28515625" customWidth="1"/>
    <col min="6" max="6" width="15.85546875" bestFit="1" customWidth="1"/>
  </cols>
  <sheetData>
    <row r="2" spans="2:19" x14ac:dyDescent="0.25">
      <c r="B2" s="1" t="s">
        <v>0</v>
      </c>
      <c r="C2" s="1"/>
      <c r="D2" s="1"/>
      <c r="E2" s="1"/>
      <c r="F2" s="1"/>
      <c r="G2" s="1"/>
      <c r="H2" s="1"/>
      <c r="I2" s="1"/>
      <c r="J2" s="1"/>
      <c r="K2" s="1"/>
      <c r="L2" s="1"/>
      <c r="M2" s="1"/>
      <c r="N2" s="1"/>
      <c r="O2" s="1"/>
      <c r="P2" s="1"/>
      <c r="Q2" s="1"/>
      <c r="R2" s="1"/>
      <c r="S2" s="1"/>
    </row>
    <row r="3" spans="2:19" x14ac:dyDescent="0.25">
      <c r="B3" s="5"/>
      <c r="C3" s="5"/>
      <c r="D3" s="5"/>
      <c r="E3" s="5"/>
      <c r="F3" s="5"/>
      <c r="G3" s="5"/>
      <c r="H3" s="5"/>
      <c r="I3" s="5"/>
      <c r="J3" s="5"/>
      <c r="K3" s="5"/>
      <c r="L3" s="5"/>
      <c r="M3" s="5"/>
      <c r="N3" s="5"/>
      <c r="O3" s="5"/>
      <c r="P3" s="5"/>
      <c r="Q3" s="5"/>
      <c r="R3" s="5"/>
      <c r="S3" s="5"/>
    </row>
    <row r="4" spans="2:19" x14ac:dyDescent="0.25">
      <c r="B4" s="6" t="s">
        <v>10</v>
      </c>
      <c r="C4" s="6"/>
      <c r="F4" s="6" t="s">
        <v>9</v>
      </c>
      <c r="G4" s="6"/>
    </row>
    <row r="5" spans="2:19" x14ac:dyDescent="0.25">
      <c r="B5" s="2" t="s">
        <v>1</v>
      </c>
      <c r="C5" s="4">
        <v>0.85</v>
      </c>
      <c r="F5" s="2" t="s">
        <v>5</v>
      </c>
      <c r="G5" s="4">
        <v>1</v>
      </c>
    </row>
    <row r="6" spans="2:19" x14ac:dyDescent="0.25">
      <c r="B6" s="2" t="s">
        <v>2</v>
      </c>
      <c r="C6" s="4">
        <f>1-C5</f>
        <v>0.15000000000000002</v>
      </c>
      <c r="F6" s="2" t="s">
        <v>6</v>
      </c>
      <c r="G6" s="4">
        <v>0</v>
      </c>
    </row>
    <row r="8" spans="2:19" x14ac:dyDescent="0.25">
      <c r="B8" s="4" t="s">
        <v>3</v>
      </c>
      <c r="C8" s="4" t="s">
        <v>4</v>
      </c>
    </row>
    <row r="9" spans="2:19" x14ac:dyDescent="0.25">
      <c r="B9" s="4">
        <v>1</v>
      </c>
      <c r="C9" s="4">
        <f ca="1">IF(RAND()&lt;$C$5,1,0)</f>
        <v>1</v>
      </c>
      <c r="F9" s="7" t="s">
        <v>11</v>
      </c>
      <c r="G9" s="8"/>
      <c r="H9" s="9"/>
    </row>
    <row r="10" spans="2:19" x14ac:dyDescent="0.25">
      <c r="B10" s="4">
        <v>2</v>
      </c>
      <c r="C10" s="4">
        <f t="shared" ref="C10:C28" ca="1" si="0">IF(RAND()&lt;$C$5,1,0)</f>
        <v>1</v>
      </c>
      <c r="F10" s="3" t="s">
        <v>8</v>
      </c>
      <c r="G10" s="3"/>
      <c r="H10" s="4">
        <f ca="1">COUNTIF($C$9:$C$28,1)</f>
        <v>16</v>
      </c>
    </row>
    <row r="11" spans="2:19" x14ac:dyDescent="0.25">
      <c r="B11" s="4">
        <v>3</v>
      </c>
      <c r="C11" s="4">
        <f t="shared" ca="1" si="0"/>
        <v>1</v>
      </c>
      <c r="F11" s="3" t="s">
        <v>7</v>
      </c>
      <c r="G11" s="3"/>
      <c r="H11" s="4">
        <f ca="1">COUNTIF($C$9:$C$28,0)</f>
        <v>4</v>
      </c>
    </row>
    <row r="12" spans="2:19" x14ac:dyDescent="0.25">
      <c r="B12" s="4">
        <v>4</v>
      </c>
      <c r="C12" s="4">
        <f t="shared" ca="1" si="0"/>
        <v>0</v>
      </c>
    </row>
    <row r="13" spans="2:19" x14ac:dyDescent="0.25">
      <c r="B13" s="4">
        <v>5</v>
      </c>
      <c r="C13" s="4">
        <f t="shared" ca="1" si="0"/>
        <v>1</v>
      </c>
    </row>
    <row r="14" spans="2:19" x14ac:dyDescent="0.25">
      <c r="B14" s="4">
        <v>6</v>
      </c>
      <c r="C14" s="4">
        <f t="shared" ca="1" si="0"/>
        <v>1</v>
      </c>
    </row>
    <row r="15" spans="2:19" x14ac:dyDescent="0.25">
      <c r="B15" s="4">
        <v>7</v>
      </c>
      <c r="C15" s="4">
        <f t="shared" ca="1" si="0"/>
        <v>1</v>
      </c>
    </row>
    <row r="16" spans="2:19" x14ac:dyDescent="0.25">
      <c r="B16" s="4">
        <v>8</v>
      </c>
      <c r="C16" s="4">
        <f t="shared" ca="1" si="0"/>
        <v>1</v>
      </c>
    </row>
    <row r="17" spans="2:3" x14ac:dyDescent="0.25">
      <c r="B17" s="4">
        <v>9</v>
      </c>
      <c r="C17" s="4">
        <f t="shared" ca="1" si="0"/>
        <v>1</v>
      </c>
    </row>
    <row r="18" spans="2:3" x14ac:dyDescent="0.25">
      <c r="B18" s="4">
        <v>10</v>
      </c>
      <c r="C18" s="4">
        <f t="shared" ca="1" si="0"/>
        <v>1</v>
      </c>
    </row>
    <row r="19" spans="2:3" x14ac:dyDescent="0.25">
      <c r="B19" s="4">
        <v>11</v>
      </c>
      <c r="C19" s="4">
        <f t="shared" ca="1" si="0"/>
        <v>0</v>
      </c>
    </row>
    <row r="20" spans="2:3" x14ac:dyDescent="0.25">
      <c r="B20" s="4">
        <v>12</v>
      </c>
      <c r="C20" s="4">
        <f t="shared" ca="1" si="0"/>
        <v>1</v>
      </c>
    </row>
    <row r="21" spans="2:3" x14ac:dyDescent="0.25">
      <c r="B21" s="4">
        <v>13</v>
      </c>
      <c r="C21" s="4">
        <f t="shared" ca="1" si="0"/>
        <v>0</v>
      </c>
    </row>
    <row r="22" spans="2:3" x14ac:dyDescent="0.25">
      <c r="B22" s="4">
        <v>14</v>
      </c>
      <c r="C22" s="4">
        <f t="shared" ca="1" si="0"/>
        <v>1</v>
      </c>
    </row>
    <row r="23" spans="2:3" x14ac:dyDescent="0.25">
      <c r="B23" s="4">
        <v>15</v>
      </c>
      <c r="C23" s="4">
        <f t="shared" ca="1" si="0"/>
        <v>1</v>
      </c>
    </row>
    <row r="24" spans="2:3" x14ac:dyDescent="0.25">
      <c r="B24" s="4">
        <v>16</v>
      </c>
      <c r="C24" s="4">
        <f t="shared" ca="1" si="0"/>
        <v>0</v>
      </c>
    </row>
    <row r="25" spans="2:3" x14ac:dyDescent="0.25">
      <c r="B25" s="4">
        <v>17</v>
      </c>
      <c r="C25" s="4">
        <f t="shared" ca="1" si="0"/>
        <v>1</v>
      </c>
    </row>
    <row r="26" spans="2:3" x14ac:dyDescent="0.25">
      <c r="B26" s="4">
        <v>18</v>
      </c>
      <c r="C26" s="4">
        <f t="shared" ca="1" si="0"/>
        <v>1</v>
      </c>
    </row>
    <row r="27" spans="2:3" x14ac:dyDescent="0.25">
      <c r="B27" s="4">
        <v>19</v>
      </c>
      <c r="C27" s="4">
        <f t="shared" ca="1" si="0"/>
        <v>1</v>
      </c>
    </row>
    <row r="28" spans="2:3" x14ac:dyDescent="0.25">
      <c r="B28" s="4">
        <v>20</v>
      </c>
      <c r="C28" s="4">
        <f t="shared" ca="1" si="0"/>
        <v>1</v>
      </c>
    </row>
  </sheetData>
  <mergeCells count="6">
    <mergeCell ref="B2:S2"/>
    <mergeCell ref="F10:G10"/>
    <mergeCell ref="F11:G11"/>
    <mergeCell ref="F4:G4"/>
    <mergeCell ref="B4:C4"/>
    <mergeCell ref="F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5A70D-DE1B-460F-B58A-E0222FB094EA}">
  <dimension ref="B2:R7"/>
  <sheetViews>
    <sheetView workbookViewId="0">
      <selection activeCell="I5" sqref="I5"/>
    </sheetView>
  </sheetViews>
  <sheetFormatPr defaultRowHeight="15" x14ac:dyDescent="0.25"/>
  <cols>
    <col min="6" max="6" width="11.42578125" customWidth="1"/>
    <col min="7" max="7" width="11.140625" customWidth="1"/>
    <col min="8" max="8" width="11.7109375" customWidth="1"/>
  </cols>
  <sheetData>
    <row r="2" spans="2:18" x14ac:dyDescent="0.25">
      <c r="B2" s="10" t="s">
        <v>12</v>
      </c>
      <c r="C2" s="10"/>
      <c r="D2" s="10"/>
      <c r="E2" s="10"/>
      <c r="F2" s="10"/>
      <c r="G2" s="10"/>
      <c r="H2" s="10"/>
      <c r="I2" s="10"/>
      <c r="J2" s="10"/>
      <c r="K2" s="10"/>
      <c r="L2" s="10"/>
      <c r="M2" s="10"/>
      <c r="N2" s="10"/>
      <c r="O2" s="10"/>
      <c r="P2" s="10"/>
      <c r="Q2" s="10"/>
      <c r="R2" s="10"/>
    </row>
    <row r="3" spans="2:18" x14ac:dyDescent="0.25">
      <c r="B3" s="10"/>
      <c r="C3" s="10"/>
      <c r="D3" s="10"/>
      <c r="E3" s="10"/>
      <c r="F3" s="10"/>
      <c r="G3" s="10"/>
      <c r="H3" s="10"/>
      <c r="I3" s="10"/>
      <c r="J3" s="10"/>
      <c r="K3" s="10"/>
      <c r="L3" s="10"/>
      <c r="M3" s="10"/>
      <c r="N3" s="10"/>
      <c r="O3" s="10"/>
      <c r="P3" s="10"/>
      <c r="Q3" s="10"/>
      <c r="R3" s="10"/>
    </row>
    <row r="5" spans="2:18" x14ac:dyDescent="0.25">
      <c r="B5" s="3" t="s">
        <v>13</v>
      </c>
      <c r="C5" s="3"/>
      <c r="D5" s="2">
        <v>5</v>
      </c>
      <c r="F5" s="12" t="s">
        <v>16</v>
      </c>
      <c r="G5" s="13"/>
      <c r="H5" s="13"/>
      <c r="I5" s="17">
        <f>_xlfn.BINOM.DIST(D6,D5,D7,0)</f>
        <v>7.2899999999999951E-2</v>
      </c>
    </row>
    <row r="6" spans="2:18" x14ac:dyDescent="0.25">
      <c r="B6" s="3" t="s">
        <v>14</v>
      </c>
      <c r="C6" s="3"/>
      <c r="D6" s="2">
        <v>3</v>
      </c>
    </row>
    <row r="7" spans="2:18" x14ac:dyDescent="0.25">
      <c r="B7" s="3" t="s">
        <v>15</v>
      </c>
      <c r="C7" s="3"/>
      <c r="D7" s="2">
        <v>0.9</v>
      </c>
    </row>
  </sheetData>
  <mergeCells count="5">
    <mergeCell ref="B2:R3"/>
    <mergeCell ref="B6:C6"/>
    <mergeCell ref="B5:C5"/>
    <mergeCell ref="B7:C7"/>
    <mergeCell ref="F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71D1-E484-4B46-A63B-770A43D2A79D}">
  <dimension ref="B2:O6"/>
  <sheetViews>
    <sheetView workbookViewId="0">
      <selection activeCell="E5" sqref="E5:G5"/>
    </sheetView>
  </sheetViews>
  <sheetFormatPr defaultRowHeight="15" x14ac:dyDescent="0.25"/>
  <cols>
    <col min="5" max="5" width="11.140625" customWidth="1"/>
    <col min="6" max="6" width="10.5703125" customWidth="1"/>
    <col min="7" max="7" width="9.5703125" customWidth="1"/>
  </cols>
  <sheetData>
    <row r="2" spans="2:15" x14ac:dyDescent="0.25">
      <c r="B2" s="10" t="s">
        <v>17</v>
      </c>
      <c r="C2" s="10"/>
      <c r="D2" s="10"/>
      <c r="E2" s="10"/>
      <c r="F2" s="10"/>
      <c r="G2" s="10"/>
      <c r="H2" s="10"/>
      <c r="I2" s="10"/>
      <c r="J2" s="10"/>
      <c r="K2" s="10"/>
      <c r="L2" s="10"/>
      <c r="M2" s="10"/>
      <c r="N2" s="10"/>
      <c r="O2" s="10"/>
    </row>
    <row r="3" spans="2:15" x14ac:dyDescent="0.25">
      <c r="B3" s="10"/>
      <c r="C3" s="10"/>
      <c r="D3" s="10"/>
      <c r="E3" s="10"/>
      <c r="F3" s="10"/>
      <c r="G3" s="10"/>
      <c r="H3" s="10"/>
      <c r="I3" s="10"/>
      <c r="J3" s="10"/>
      <c r="K3" s="10"/>
      <c r="L3" s="10"/>
      <c r="M3" s="10"/>
      <c r="N3" s="10"/>
      <c r="O3" s="10"/>
    </row>
    <row r="5" spans="2:15" x14ac:dyDescent="0.25">
      <c r="B5" s="4" t="s">
        <v>18</v>
      </c>
      <c r="C5" s="4">
        <v>4</v>
      </c>
      <c r="E5" s="15" t="s">
        <v>20</v>
      </c>
      <c r="F5" s="16"/>
      <c r="G5" s="16"/>
      <c r="H5" s="17">
        <f>_xlfn.POISSON.DIST(6,C5,0)</f>
        <v>0.10419563456702115</v>
      </c>
    </row>
    <row r="6" spans="2:15" x14ac:dyDescent="0.25">
      <c r="B6" s="4" t="s">
        <v>19</v>
      </c>
      <c r="C6" s="4">
        <v>6</v>
      </c>
    </row>
  </sheetData>
  <mergeCells count="2">
    <mergeCell ref="B2:O3"/>
    <mergeCell ref="E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7859-013A-4581-8B2F-EC7D9E5473AB}">
  <dimension ref="B2:P18"/>
  <sheetViews>
    <sheetView tabSelected="1" workbookViewId="0">
      <selection activeCell="A11" sqref="A11"/>
    </sheetView>
  </sheetViews>
  <sheetFormatPr defaultRowHeight="15" x14ac:dyDescent="0.25"/>
  <cols>
    <col min="4" max="4" width="10.85546875" customWidth="1"/>
    <col min="5" max="5" width="8.140625" customWidth="1"/>
    <col min="6" max="7" width="11" customWidth="1"/>
    <col min="9" max="9" width="12" bestFit="1" customWidth="1"/>
  </cols>
  <sheetData>
    <row r="2" spans="2:16" x14ac:dyDescent="0.25">
      <c r="B2" s="10" t="s">
        <v>21</v>
      </c>
      <c r="C2" s="10"/>
      <c r="D2" s="10"/>
      <c r="E2" s="10"/>
      <c r="F2" s="10"/>
      <c r="G2" s="10"/>
      <c r="H2" s="10"/>
      <c r="I2" s="10"/>
      <c r="J2" s="10"/>
      <c r="K2" s="10"/>
      <c r="L2" s="10"/>
      <c r="M2" s="10"/>
      <c r="N2" s="10"/>
      <c r="O2" s="10"/>
      <c r="P2" s="10"/>
    </row>
    <row r="3" spans="2:16" x14ac:dyDescent="0.25">
      <c r="B3" s="10"/>
      <c r="C3" s="10"/>
      <c r="D3" s="10"/>
      <c r="E3" s="10"/>
      <c r="F3" s="10"/>
      <c r="G3" s="10"/>
      <c r="H3" s="10"/>
      <c r="I3" s="10"/>
      <c r="J3" s="10"/>
      <c r="K3" s="10"/>
      <c r="L3" s="10"/>
      <c r="M3" s="10"/>
      <c r="N3" s="10"/>
      <c r="O3" s="10"/>
      <c r="P3" s="10"/>
    </row>
    <row r="5" spans="2:16" x14ac:dyDescent="0.25">
      <c r="B5" s="4" t="s">
        <v>22</v>
      </c>
      <c r="C5" s="4">
        <v>10</v>
      </c>
      <c r="I5" s="11"/>
    </row>
    <row r="6" spans="2:16" x14ac:dyDescent="0.25">
      <c r="C6" s="4" t="s">
        <v>24</v>
      </c>
      <c r="D6" s="14" t="s">
        <v>20</v>
      </c>
      <c r="E6" s="14"/>
      <c r="F6" s="14"/>
      <c r="I6" s="11"/>
    </row>
    <row r="7" spans="2:16" x14ac:dyDescent="0.25">
      <c r="C7" s="2">
        <v>8</v>
      </c>
      <c r="D7" s="18">
        <f>_xlfn.POISSON.DIST(C7,$C$5,0)</f>
        <v>0.11259903214901996</v>
      </c>
    </row>
    <row r="8" spans="2:16" x14ac:dyDescent="0.25">
      <c r="C8" s="2">
        <v>13</v>
      </c>
      <c r="D8" s="18">
        <f t="shared" ref="D8:D18" si="0">_xlfn.POISSON.DIST(C8,$C$5,0)</f>
        <v>7.2907946224436637E-2</v>
      </c>
    </row>
    <row r="9" spans="2:16" x14ac:dyDescent="0.25">
      <c r="C9" s="2">
        <v>7</v>
      </c>
      <c r="D9" s="18">
        <f t="shared" si="0"/>
        <v>9.0079225719215977E-2</v>
      </c>
    </row>
    <row r="10" spans="2:16" x14ac:dyDescent="0.25">
      <c r="C10" s="2">
        <v>5</v>
      </c>
      <c r="D10" s="18">
        <f t="shared" si="0"/>
        <v>3.7833274802070715E-2</v>
      </c>
    </row>
    <row r="11" spans="2:16" x14ac:dyDescent="0.25">
      <c r="C11" s="2">
        <v>7</v>
      </c>
      <c r="D11" s="18">
        <f t="shared" si="0"/>
        <v>9.0079225719215977E-2</v>
      </c>
    </row>
    <row r="12" spans="2:16" x14ac:dyDescent="0.25">
      <c r="C12" s="2">
        <v>9</v>
      </c>
      <c r="D12" s="18">
        <f t="shared" si="0"/>
        <v>0.1251100357211333</v>
      </c>
    </row>
    <row r="13" spans="2:16" x14ac:dyDescent="0.25">
      <c r="C13" s="2">
        <v>10</v>
      </c>
      <c r="D13" s="18">
        <f t="shared" si="0"/>
        <v>0.1251100357211333</v>
      </c>
    </row>
    <row r="14" spans="2:16" x14ac:dyDescent="0.25">
      <c r="C14" s="2">
        <v>9</v>
      </c>
      <c r="D14" s="18">
        <f t="shared" si="0"/>
        <v>0.1251100357211333</v>
      </c>
    </row>
    <row r="15" spans="2:16" x14ac:dyDescent="0.25">
      <c r="C15" s="2">
        <v>9</v>
      </c>
      <c r="D15" s="18">
        <f t="shared" si="0"/>
        <v>0.1251100357211333</v>
      </c>
    </row>
    <row r="16" spans="2:16" x14ac:dyDescent="0.25">
      <c r="C16" s="2">
        <v>9</v>
      </c>
      <c r="D16" s="18">
        <f t="shared" si="0"/>
        <v>0.1251100357211333</v>
      </c>
    </row>
    <row r="17" spans="3:4" x14ac:dyDescent="0.25">
      <c r="C17" s="2">
        <v>9</v>
      </c>
      <c r="D17" s="18">
        <f t="shared" si="0"/>
        <v>0.1251100357211333</v>
      </c>
    </row>
    <row r="18" spans="3:4" x14ac:dyDescent="0.25">
      <c r="C18" s="2">
        <v>14</v>
      </c>
      <c r="D18" s="18">
        <f t="shared" si="0"/>
        <v>5.2077104446026187E-2</v>
      </c>
    </row>
  </sheetData>
  <mergeCells count="2">
    <mergeCell ref="B2:P3"/>
    <mergeCell ref="D6:F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A6BBC-1971-4D24-8607-77A9A4637BD6}">
  <dimension ref="B2:R11"/>
  <sheetViews>
    <sheetView workbookViewId="0">
      <selection activeCell="F15" sqref="F15"/>
    </sheetView>
  </sheetViews>
  <sheetFormatPr defaultRowHeight="15" x14ac:dyDescent="0.25"/>
  <sheetData>
    <row r="2" spans="2:18" x14ac:dyDescent="0.25">
      <c r="B2" s="40" t="s">
        <v>23</v>
      </c>
      <c r="C2" s="40"/>
      <c r="D2" s="40"/>
      <c r="E2" s="40"/>
      <c r="F2" s="40"/>
      <c r="G2" s="40"/>
      <c r="H2" s="40"/>
      <c r="I2" s="40"/>
      <c r="J2" s="40"/>
      <c r="K2" s="40"/>
      <c r="L2" s="40"/>
      <c r="M2" s="40"/>
      <c r="N2" s="40"/>
      <c r="O2" s="40"/>
      <c r="P2" s="40"/>
    </row>
    <row r="3" spans="2:18" x14ac:dyDescent="0.25">
      <c r="B3" s="40"/>
      <c r="C3" s="40"/>
      <c r="D3" s="40"/>
      <c r="E3" s="40"/>
      <c r="F3" s="40"/>
      <c r="G3" s="40"/>
      <c r="H3" s="40"/>
      <c r="I3" s="40"/>
      <c r="J3" s="40"/>
      <c r="K3" s="40"/>
      <c r="L3" s="40"/>
      <c r="M3" s="40"/>
      <c r="N3" s="40"/>
      <c r="O3" s="40"/>
      <c r="P3" s="40"/>
    </row>
    <row r="4" spans="2:18" ht="15.75" thickBot="1" x14ac:dyDescent="0.3"/>
    <row r="5" spans="2:18" ht="19.5" thickBot="1" x14ac:dyDescent="0.3">
      <c r="B5" s="34" t="s">
        <v>25</v>
      </c>
      <c r="C5" s="35"/>
      <c r="D5" s="35"/>
      <c r="E5" s="35"/>
      <c r="F5" s="35"/>
      <c r="G5" s="35"/>
      <c r="H5" s="35"/>
      <c r="I5" s="35"/>
      <c r="J5" s="35"/>
      <c r="K5" s="35"/>
      <c r="L5" s="35"/>
      <c r="M5" s="35"/>
      <c r="N5" s="35"/>
      <c r="O5" s="35"/>
      <c r="P5" s="35"/>
      <c r="Q5" s="35"/>
      <c r="R5" s="36"/>
    </row>
    <row r="6" spans="2:18" ht="23.25" customHeight="1" thickBot="1" x14ac:dyDescent="0.35">
      <c r="B6" s="37" t="s">
        <v>26</v>
      </c>
      <c r="C6" s="38"/>
      <c r="D6" s="38"/>
      <c r="E6" s="38"/>
      <c r="F6" s="38"/>
      <c r="G6" s="38"/>
      <c r="H6" s="38"/>
      <c r="I6" s="38"/>
      <c r="J6" s="38"/>
      <c r="K6" s="38"/>
      <c r="L6" s="38"/>
      <c r="M6" s="38"/>
      <c r="N6" s="38"/>
      <c r="O6" s="38"/>
      <c r="P6" s="38"/>
      <c r="Q6" s="38"/>
      <c r="R6" s="39"/>
    </row>
    <row r="7" spans="2:18" ht="34.5" customHeight="1" x14ac:dyDescent="0.25">
      <c r="B7" s="19" t="s">
        <v>29</v>
      </c>
      <c r="C7" s="20"/>
      <c r="D7" s="20"/>
      <c r="E7" s="20"/>
      <c r="F7" s="20"/>
      <c r="G7" s="20"/>
      <c r="H7" s="20"/>
      <c r="I7" s="20"/>
      <c r="J7" s="20"/>
      <c r="K7" s="20"/>
      <c r="L7" s="20"/>
      <c r="M7" s="20"/>
      <c r="N7" s="20"/>
      <c r="O7" s="20"/>
      <c r="P7" s="20"/>
      <c r="Q7" s="20"/>
      <c r="R7" s="21"/>
    </row>
    <row r="8" spans="2:18" ht="22.5" customHeight="1" thickBot="1" x14ac:dyDescent="0.3">
      <c r="B8" s="22"/>
      <c r="C8" s="23"/>
      <c r="D8" s="23"/>
      <c r="E8" s="23"/>
      <c r="F8" s="23"/>
      <c r="G8" s="23"/>
      <c r="H8" s="23"/>
      <c r="I8" s="23"/>
      <c r="J8" s="23"/>
      <c r="K8" s="23"/>
      <c r="L8" s="23"/>
      <c r="M8" s="23"/>
      <c r="N8" s="23"/>
      <c r="O8" s="23"/>
      <c r="P8" s="23"/>
      <c r="Q8" s="23"/>
      <c r="R8" s="24"/>
    </row>
    <row r="9" spans="2:18" ht="22.5" customHeight="1" x14ac:dyDescent="0.3">
      <c r="B9" s="25" t="s">
        <v>27</v>
      </c>
      <c r="C9" s="26"/>
      <c r="D9" s="26"/>
      <c r="E9" s="26"/>
      <c r="F9" s="26"/>
      <c r="G9" s="26"/>
      <c r="H9" s="26"/>
      <c r="I9" s="26"/>
      <c r="J9" s="26"/>
      <c r="K9" s="26"/>
      <c r="L9" s="26"/>
      <c r="M9" s="26"/>
      <c r="N9" s="26"/>
      <c r="O9" s="26"/>
      <c r="P9" s="26"/>
      <c r="Q9" s="26"/>
      <c r="R9" s="27"/>
    </row>
    <row r="10" spans="2:18" ht="15" customHeight="1" x14ac:dyDescent="0.25">
      <c r="B10" s="28" t="s">
        <v>28</v>
      </c>
      <c r="C10" s="29"/>
      <c r="D10" s="29"/>
      <c r="E10" s="29"/>
      <c r="F10" s="29"/>
      <c r="G10" s="29"/>
      <c r="H10" s="29"/>
      <c r="I10" s="29"/>
      <c r="J10" s="29"/>
      <c r="K10" s="29"/>
      <c r="L10" s="29"/>
      <c r="M10" s="29"/>
      <c r="N10" s="29"/>
      <c r="O10" s="29"/>
      <c r="P10" s="29"/>
      <c r="Q10" s="29"/>
      <c r="R10" s="30"/>
    </row>
    <row r="11" spans="2:18" ht="24" customHeight="1" thickBot="1" x14ac:dyDescent="0.3">
      <c r="B11" s="31"/>
      <c r="C11" s="32"/>
      <c r="D11" s="32"/>
      <c r="E11" s="32"/>
      <c r="F11" s="32"/>
      <c r="G11" s="32"/>
      <c r="H11" s="32"/>
      <c r="I11" s="32"/>
      <c r="J11" s="32"/>
      <c r="K11" s="32"/>
      <c r="L11" s="32"/>
      <c r="M11" s="32"/>
      <c r="N11" s="32"/>
      <c r="O11" s="32"/>
      <c r="P11" s="32"/>
      <c r="Q11" s="32"/>
      <c r="R11" s="33"/>
    </row>
  </sheetData>
  <mergeCells count="6">
    <mergeCell ref="B5:R5"/>
    <mergeCell ref="B6:R6"/>
    <mergeCell ref="B7:R8"/>
    <mergeCell ref="B9:R9"/>
    <mergeCell ref="B10:R11"/>
    <mergeCell ref="B2: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2026-08-21T10:57:38Z</dcterms:modified>
</cp:coreProperties>
</file>